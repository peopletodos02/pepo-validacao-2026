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Regiane\Desktop\"/>
    </mc:Choice>
  </mc:AlternateContent>
  <xr:revisionPtr revIDLastSave="0" documentId="8_{DF18DBE3-F476-48AE-922F-F4AC0BCCADA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se_Dados" sheetId="1" r:id="rId1"/>
    <sheet name="Respostas" sheetId="3" r:id="rId2"/>
    <sheet name="Dashboard (2)" sheetId="5" state="hidden" r:id="rId3"/>
    <sheet name="Dashboard" sheetId="4" r:id="rId4"/>
  </sheet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97" i="3" l="1"/>
  <c r="O196" i="3"/>
  <c r="O195" i="3"/>
  <c r="O194" i="3"/>
  <c r="O193" i="3"/>
  <c r="O192" i="3"/>
  <c r="O191" i="3"/>
  <c r="O190" i="3"/>
  <c r="O189" i="3"/>
  <c r="O188" i="3"/>
  <c r="O187" i="3"/>
  <c r="O186" i="3"/>
  <c r="O185" i="3"/>
  <c r="O184" i="3"/>
  <c r="O183" i="3"/>
  <c r="O182" i="3"/>
  <c r="O181" i="3"/>
  <c r="O180" i="3"/>
  <c r="O179" i="3"/>
  <c r="O178" i="3"/>
  <c r="O177" i="3"/>
  <c r="O176" i="3"/>
  <c r="O175" i="3"/>
  <c r="O174" i="3"/>
  <c r="O173" i="3"/>
  <c r="O172" i="3"/>
  <c r="O171" i="3"/>
  <c r="O170" i="3"/>
  <c r="O169" i="3"/>
  <c r="O168" i="3"/>
  <c r="O167" i="3"/>
  <c r="O166" i="3"/>
  <c r="O165" i="3"/>
  <c r="O164" i="3"/>
  <c r="O163" i="3"/>
  <c r="O162" i="3"/>
  <c r="O161" i="3"/>
  <c r="O160" i="3"/>
  <c r="O159" i="3"/>
  <c r="O158" i="3"/>
  <c r="O157" i="3"/>
  <c r="O154" i="3"/>
  <c r="O155" i="3"/>
  <c r="O156" i="3"/>
  <c r="O151" i="3"/>
  <c r="O152" i="3"/>
  <c r="O153" i="3"/>
  <c r="O148" i="3"/>
  <c r="O149" i="3"/>
  <c r="O150" i="3"/>
  <c r="O145" i="3"/>
  <c r="O146" i="3"/>
  <c r="O147" i="3"/>
  <c r="O142" i="3"/>
  <c r="O143" i="3"/>
  <c r="O144" i="3"/>
  <c r="O141" i="3"/>
  <c r="O140" i="3"/>
  <c r="O139" i="3"/>
  <c r="O138" i="3"/>
  <c r="O137" i="3"/>
  <c r="O136" i="3"/>
  <c r="O135" i="3"/>
  <c r="O134" i="3"/>
  <c r="O133" i="3"/>
  <c r="O132" i="3"/>
  <c r="O131" i="3"/>
  <c r="O130" i="3"/>
  <c r="O129" i="3"/>
  <c r="O128" i="3"/>
  <c r="O127" i="3"/>
  <c r="O126" i="3"/>
  <c r="O125" i="3"/>
  <c r="O124" i="3"/>
  <c r="O122" i="3"/>
  <c r="O123" i="3"/>
  <c r="O120" i="3"/>
  <c r="O121" i="3"/>
  <c r="O118" i="3"/>
  <c r="O119" i="3"/>
  <c r="O117" i="3"/>
  <c r="O116" i="3"/>
  <c r="O115" i="3"/>
  <c r="O114" i="3"/>
  <c r="O113" i="3"/>
  <c r="O112" i="3"/>
  <c r="O111" i="3"/>
  <c r="O110" i="3"/>
  <c r="O109" i="3"/>
  <c r="O108" i="3"/>
  <c r="O107" i="3"/>
  <c r="O106" i="3"/>
  <c r="O105" i="3"/>
  <c r="O104" i="3"/>
  <c r="O103" i="3"/>
  <c r="O102" i="3"/>
  <c r="O101" i="3"/>
  <c r="O100" i="3"/>
  <c r="O99" i="3"/>
  <c r="O98" i="3"/>
  <c r="O97" i="3"/>
  <c r="O96" i="3"/>
  <c r="O95" i="3"/>
  <c r="O94" i="3"/>
  <c r="O93" i="3"/>
  <c r="O92" i="3"/>
  <c r="O91" i="3"/>
  <c r="O90" i="3"/>
  <c r="O89" i="3"/>
  <c r="O88" i="3"/>
  <c r="O87" i="3"/>
  <c r="O86" i="3"/>
  <c r="O85" i="3"/>
  <c r="O84" i="3"/>
  <c r="O83" i="3"/>
  <c r="O82" i="3"/>
  <c r="O81" i="3"/>
  <c r="O80" i="3"/>
  <c r="O79" i="3"/>
  <c r="O78" i="3"/>
  <c r="O77" i="3"/>
  <c r="O76" i="3"/>
  <c r="O75" i="3"/>
  <c r="O74" i="3"/>
  <c r="O73" i="3"/>
  <c r="O72" i="3"/>
  <c r="O71" i="3"/>
  <c r="O70" i="3"/>
  <c r="O68" i="3"/>
  <c r="O69" i="3"/>
  <c r="O66" i="3"/>
  <c r="O67" i="3"/>
  <c r="O64" i="3"/>
  <c r="O65" i="3"/>
  <c r="O62" i="3"/>
  <c r="O63" i="3"/>
  <c r="O60" i="3"/>
  <c r="O61" i="3"/>
  <c r="O58" i="3"/>
  <c r="O59" i="3"/>
  <c r="O56" i="3"/>
  <c r="O57" i="3"/>
  <c r="O54" i="3"/>
  <c r="O55" i="3"/>
  <c r="O52" i="3"/>
  <c r="O53" i="3"/>
  <c r="O51" i="3"/>
  <c r="O50" i="3"/>
  <c r="O49" i="3"/>
  <c r="O48" i="3"/>
  <c r="O47" i="3"/>
  <c r="O46" i="3"/>
  <c r="O45" i="3"/>
  <c r="O44" i="3"/>
  <c r="O43" i="3"/>
  <c r="O42" i="3"/>
  <c r="O41" i="3"/>
  <c r="O40" i="3"/>
  <c r="O39" i="3"/>
  <c r="O38" i="3"/>
  <c r="O37" i="3"/>
  <c r="O36" i="3"/>
  <c r="O35" i="3"/>
  <c r="O34" i="3"/>
  <c r="O33" i="3"/>
  <c r="O32" i="3"/>
  <c r="O31" i="3"/>
  <c r="O30" i="3"/>
  <c r="O29" i="3"/>
  <c r="O28" i="3"/>
  <c r="O27" i="3"/>
  <c r="O26" i="3"/>
  <c r="O25" i="3"/>
  <c r="O24" i="3"/>
  <c r="O23" i="3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O9" i="3"/>
  <c r="O8" i="3"/>
  <c r="O7" i="3"/>
  <c r="O6" i="3"/>
  <c r="O5" i="3"/>
  <c r="O4" i="3"/>
  <c r="O3" i="3"/>
  <c r="O2" i="3"/>
  <c r="B2" i="5"/>
  <c r="D2" i="5" s="1"/>
  <c r="A2" i="4" a="1"/>
  <c r="A2" i="4" s="1"/>
  <c r="D3" i="5"/>
  <c r="D1" i="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<sst xmlns="http://schemas.openxmlformats.org/spreadsheetml/2006/main" count="3991" uniqueCount="912">
  <si>
    <t>Gestor Avaliador</t>
  </si>
  <si>
    <t>Gestor Validador</t>
  </si>
  <si>
    <t>ID</t>
  </si>
  <si>
    <t>Matrícula</t>
  </si>
  <si>
    <t>Nome</t>
  </si>
  <si>
    <t>Cargo</t>
  </si>
  <si>
    <t>Unidade</t>
  </si>
  <si>
    <t>Departamento</t>
  </si>
  <si>
    <t>Data de admissão</t>
  </si>
  <si>
    <t>ALEX ALVARES PIMENTEL MACIEL</t>
  </si>
  <si>
    <t>1866660</t>
  </si>
  <si>
    <t>ALESSANDRA DE AZEVEDO RIBEIRO</t>
  </si>
  <si>
    <t>ASSESSOR DE DIRETOR REGIONAL</t>
  </si>
  <si>
    <t>REGIONAIS</t>
  </si>
  <si>
    <t>REGIONAL COSTA LESTE</t>
  </si>
  <si>
    <t>2461251</t>
  </si>
  <si>
    <t>CARLOS ANDRE SANTOS SILVA</t>
  </si>
  <si>
    <t>2274157</t>
  </si>
  <si>
    <t>FABIO FERREIRA SANTOS</t>
  </si>
  <si>
    <t>71067</t>
  </si>
  <si>
    <t>JULIA ALVES PINHEIRO GONCALVES MENEZES</t>
  </si>
  <si>
    <t>628495</t>
  </si>
  <si>
    <t>RAFAEL AZEVEDO REIS</t>
  </si>
  <si>
    <t>866335</t>
  </si>
  <si>
    <t>THIAGO RODRIGUES INÁCIO</t>
  </si>
  <si>
    <t>1673103</t>
  </si>
  <si>
    <t>VITOR RAFAEL SOARES CORREIA</t>
  </si>
  <si>
    <t>2180921</t>
  </si>
  <si>
    <t>ANA CAROLINE DE REZENDE ALVES</t>
  </si>
  <si>
    <t>ALINE DE GOES CAMARGO</t>
  </si>
  <si>
    <t>ALINE GOES</t>
  </si>
  <si>
    <t>2397323</t>
  </si>
  <si>
    <t>PJ40</t>
  </si>
  <si>
    <t>ELIANE PEREIRA DA SILVA HIDALGO</t>
  </si>
  <si>
    <t>COORDENADOR DE OPERAÇÕES</t>
  </si>
  <si>
    <t>TODOS EMPREENDIMENTOS</t>
  </si>
  <si>
    <t>OPERACOES - CONSULTORIA</t>
  </si>
  <si>
    <t>13199</t>
  </si>
  <si>
    <t>RENNAN LUCIO DE MOURA</t>
  </si>
  <si>
    <t>OPERACOES - SUPORTE</t>
  </si>
  <si>
    <t>13155</t>
  </si>
  <si>
    <t>CARINE REIS DOS SANTOS</t>
  </si>
  <si>
    <t>COORDENADOR DE PROJETOS</t>
  </si>
  <si>
    <t>OPERACOES - PROJETOS</t>
  </si>
  <si>
    <t>1673113</t>
  </si>
  <si>
    <t>SLAYNE FERNANDA NERES GOMES BRUM ARAUJO</t>
  </si>
  <si>
    <t>SUPERVISOR DE QUALIDADE</t>
  </si>
  <si>
    <t>OPERACOES - QUALIDADE</t>
  </si>
  <si>
    <t>ALTAIR DE JESUS VILAR GUIMARAES</t>
  </si>
  <si>
    <t>13205</t>
  </si>
  <si>
    <t>SANDRO YUKIO YAMANO</t>
  </si>
  <si>
    <t>ASSESSOR DA PRESIDENCIA</t>
  </si>
  <si>
    <t>PRESIDENCIA - ALTAIR</t>
  </si>
  <si>
    <t>13213</t>
  </si>
  <si>
    <t>UARLAS BONFIM</t>
  </si>
  <si>
    <t>365535</t>
  </si>
  <si>
    <t>M01</t>
  </si>
  <si>
    <t>ANEDINA IZABEL DUARTE SOUZA</t>
  </si>
  <si>
    <t>COORDENADORA ADMINISTRATIVA FINANCEIRA (M.I)</t>
  </si>
  <si>
    <t>MARA INVESTIMENTOS</t>
  </si>
  <si>
    <t>MARA - COORDENADOR</t>
  </si>
  <si>
    <t>13203</t>
  </si>
  <si>
    <t>SAMARA DOS REIS FERREIRA</t>
  </si>
  <si>
    <t>SECRETÁRIA EXECUTIVA</t>
  </si>
  <si>
    <t>TALES VILAR MOTA GUIMARAES</t>
  </si>
  <si>
    <t>13709</t>
  </si>
  <si>
    <t>S02</t>
  </si>
  <si>
    <t>AQUILES VILAR MOTA GUIMARAES</t>
  </si>
  <si>
    <t>VICE PRESIDENTE GLOBAL</t>
  </si>
  <si>
    <t>15018</t>
  </si>
  <si>
    <t>S04</t>
  </si>
  <si>
    <t>AMANDA MIRANDA DE CARVALHO</t>
  </si>
  <si>
    <t>1330299</t>
  </si>
  <si>
    <t>BARBARA CRYSTE GRACIANO FONTES</t>
  </si>
  <si>
    <t>ANALISTA DE CRM JR</t>
  </si>
  <si>
    <t>CRM - PROJETOS</t>
  </si>
  <si>
    <t>1455741</t>
  </si>
  <si>
    <t>RHAYANDER DANTAS DOS REIS</t>
  </si>
  <si>
    <t>ANALISTA DE CRM PL</t>
  </si>
  <si>
    <t>2505951</t>
  </si>
  <si>
    <t>PJ42</t>
  </si>
  <si>
    <t>YURI LOPES CORDEIRO</t>
  </si>
  <si>
    <t>AMANDA STEFANI SOUSA DE ALMEIDA SANTOS</t>
  </si>
  <si>
    <t>2440564</t>
  </si>
  <si>
    <t>BÁRBARA CLEMENTE SANTOS FONSECA</t>
  </si>
  <si>
    <t>REGIONAL CENTRO SUL</t>
  </si>
  <si>
    <t>2577625</t>
  </si>
  <si>
    <t>BIANCA MIRAPALHETA BORGES</t>
  </si>
  <si>
    <t>464074</t>
  </si>
  <si>
    <t>FERNANDA  CRISTINA DE PAULA</t>
  </si>
  <si>
    <t>2440567</t>
  </si>
  <si>
    <t>GLALBER EDUARDO MIRANDA</t>
  </si>
  <si>
    <t>2404242</t>
  </si>
  <si>
    <t>JORGE ALBERTO NEVES GALVAO</t>
  </si>
  <si>
    <t>2211026</t>
  </si>
  <si>
    <t>LILIANE NIZER PIETRASZKI</t>
  </si>
  <si>
    <t>2190501</t>
  </si>
  <si>
    <t>MURILO CAMPOS MARTINS</t>
  </si>
  <si>
    <t>2190498</t>
  </si>
  <si>
    <t>PAMMY ANGEL MARTINS SANTANA SIMAS</t>
  </si>
  <si>
    <t>1420069</t>
  </si>
  <si>
    <t>EDMILSON LUIZ ALVES JUNIOR</t>
  </si>
  <si>
    <t>2274225</t>
  </si>
  <si>
    <t>LENNON CRISTIANO SOSSMEIER DA SILVA</t>
  </si>
  <si>
    <t>ANDRE NADDEO</t>
  </si>
  <si>
    <t>ANDRE NADEO</t>
  </si>
  <si>
    <t>67266</t>
  </si>
  <si>
    <t>AMANDA RIBEIRO JARDIM OLIVEIRA DE SOUZA</t>
  </si>
  <si>
    <t>ASSISTENTE ADMINISTRATIVO PLANETA DE TODOS</t>
  </si>
  <si>
    <t>Planeta de TODOS</t>
  </si>
  <si>
    <t>PLANETA DE TODOS</t>
  </si>
  <si>
    <t>ANDRESSA RODRIGUES MORATO MAIA</t>
  </si>
  <si>
    <t>ULISSES LEANDRO CARVALHO FERREIRA</t>
  </si>
  <si>
    <t>1484295</t>
  </si>
  <si>
    <t>SARAH NASCIMENTO BICALHO</t>
  </si>
  <si>
    <t>CRM - CX</t>
  </si>
  <si>
    <t>1752704</t>
  </si>
  <si>
    <t>TAYENE RIBEIRO E SILVA</t>
  </si>
  <si>
    <t>2369007</t>
  </si>
  <si>
    <t>PJ38</t>
  </si>
  <si>
    <t>RAFAEL MACHADO GOMES DE BARROS</t>
  </si>
  <si>
    <t>2607157</t>
  </si>
  <si>
    <t>PJ46</t>
  </si>
  <si>
    <t>LUIZ FERNANDO FRANÇA DOS SANTOS</t>
  </si>
  <si>
    <t>ANALISTA DE CRM SR</t>
  </si>
  <si>
    <t>2577724</t>
  </si>
  <si>
    <t>CRISTIAN COSTA FERREIRA CAUS</t>
  </si>
  <si>
    <t>ASSISTENTE DE OUVIDORIA</t>
  </si>
  <si>
    <t>CRM - OUVIDORIA</t>
  </si>
  <si>
    <t>2577646</t>
  </si>
  <si>
    <t>LUIZA GOMES FERREIRA</t>
  </si>
  <si>
    <t>2577735</t>
  </si>
  <si>
    <t>NAYARA ROSA RODRIGUES</t>
  </si>
  <si>
    <t>2577652</t>
  </si>
  <si>
    <t>PABLO RODRIGUES LELES COSTA</t>
  </si>
  <si>
    <t>2577636</t>
  </si>
  <si>
    <t>THAÍS APARECIDA DE ARAÚJO</t>
  </si>
  <si>
    <t>1621829</t>
  </si>
  <si>
    <t>M02</t>
  </si>
  <si>
    <t>HENRIQUE VENANCIO DE SOUZA</t>
  </si>
  <si>
    <t>ANALISTA CONTÁBIL FINANCEIRO (M.I)</t>
  </si>
  <si>
    <t>MARA - COLABORADORES</t>
  </si>
  <si>
    <t>2523143</t>
  </si>
  <si>
    <t>ALEX SILVA ESTEBANEZ</t>
  </si>
  <si>
    <t>ASSISTENTE ADMINISTRATIVA FINANCEIRA (M.I)</t>
  </si>
  <si>
    <t>1399159</t>
  </si>
  <si>
    <t>SUELEN CRISTINA GONCALVES</t>
  </si>
  <si>
    <t>1093178</t>
  </si>
  <si>
    <t>RICARDO ESTEVAO DE ALMEIDA</t>
  </si>
  <si>
    <t>CFO CHIEF FINANCIAL OFFICER</t>
  </si>
  <si>
    <t>FINANCAS - DIRETORIA</t>
  </si>
  <si>
    <t>176654</t>
  </si>
  <si>
    <t>DANILO ALEXANDRE MONTEIRO DE CASTRO SABBAGH</t>
  </si>
  <si>
    <t>CHIEF TECHNICAL OFFICER</t>
  </si>
  <si>
    <t>TI - DIRETORIA</t>
  </si>
  <si>
    <t>13200</t>
  </si>
  <si>
    <t>RENNAN VILAR GUIMARAES CASTRO ANTUNES</t>
  </si>
  <si>
    <t>CPCO  CHIEF PEOPLE AND CULTURE OFFICER</t>
  </si>
  <si>
    <t>P&amp;C - DIRETORIA</t>
  </si>
  <si>
    <t>94726</t>
  </si>
  <si>
    <t>IC02</t>
  </si>
  <si>
    <t>WANDERSON LAGE</t>
  </si>
  <si>
    <t>DIRETOR</t>
  </si>
  <si>
    <t>Incubadora de Franquias</t>
  </si>
  <si>
    <t>INCUBADORA - DIRETORIA</t>
  </si>
  <si>
    <t>BRAULIO PIOVEZANA RINCO</t>
  </si>
  <si>
    <t xml:space="preserve">PAULA ROBERTA LISBOA </t>
  </si>
  <si>
    <t>2585678</t>
  </si>
  <si>
    <t>MUNIQUE LACERDA SOUZA MARTINS</t>
  </si>
  <si>
    <t>ANALISTA DE COMUNICAÇÃO PLENO</t>
  </si>
  <si>
    <t>P&amp;C - COMUNICACAO</t>
  </si>
  <si>
    <t>1626373</t>
  </si>
  <si>
    <t>PEDRO HENRIQUE TERRA VIEIRA</t>
  </si>
  <si>
    <t>2041938</t>
  </si>
  <si>
    <t>NATHANY GONCALVES ALVES</t>
  </si>
  <si>
    <t>ANALISTA DE PESSOAS E CULTURA PL</t>
  </si>
  <si>
    <t>1626381</t>
  </si>
  <si>
    <t>DENIS JANES MARTUSCELLI</t>
  </si>
  <si>
    <t>DESIGNER GRAFICO</t>
  </si>
  <si>
    <t>854206</t>
  </si>
  <si>
    <t>MARIA LUIZA SOUZA FILGUEIRAS</t>
  </si>
  <si>
    <t>VIDEOMAKER</t>
  </si>
  <si>
    <t>BRUNNA KAROLINE QUEIROZ RODRIGUES</t>
  </si>
  <si>
    <t>LORRAYNE CRISTINE THEZA DO CARMO</t>
  </si>
  <si>
    <t>421966</t>
  </si>
  <si>
    <t>JENNIFER CRISTINA FERREIRA DE SOUZA</t>
  </si>
  <si>
    <t>ANALISTA CONTÁBIL JR</t>
  </si>
  <si>
    <t>FINANCAS - CONTABILIDADE</t>
  </si>
  <si>
    <t>802151</t>
  </si>
  <si>
    <t>NATHALIA LAISSA LACERDA LOURDES</t>
  </si>
  <si>
    <t>2314761</t>
  </si>
  <si>
    <t>THAYS CHRISTINE DOS SANTOS ASSIS MOTA</t>
  </si>
  <si>
    <t>230283</t>
  </si>
  <si>
    <t>DANIELA NOBRE MIGUEL</t>
  </si>
  <si>
    <t>ANALISTA CONTÁBIL PL</t>
  </si>
  <si>
    <t>453133</t>
  </si>
  <si>
    <t>BIANCA DE MELO CARVALHO</t>
  </si>
  <si>
    <t>ANALISTA FISCAL E TRIBUTÁRIO JR</t>
  </si>
  <si>
    <t>31291</t>
  </si>
  <si>
    <t>RENATA ALVARENGA DA SILVA STOCLER</t>
  </si>
  <si>
    <t>ANALISTA FISCAL E TRIBUTÁRIO SR</t>
  </si>
  <si>
    <t>2274213</t>
  </si>
  <si>
    <t>BRENDA ALINE PROCOPIO SILVA</t>
  </si>
  <si>
    <t>ASSISTENTE CONTABIL</t>
  </si>
  <si>
    <t>2440552</t>
  </si>
  <si>
    <t>YASMIN FAVARO ROCHA</t>
  </si>
  <si>
    <t>2577617</t>
  </si>
  <si>
    <t>GUSTAVO ELIAS ALMEIDA SILVA</t>
  </si>
  <si>
    <t>ASSISTENTE FISCAL E TRIBUTÁRIO</t>
  </si>
  <si>
    <t>BRUNO CASTRO METZKER</t>
  </si>
  <si>
    <t>BRUNO METZKER</t>
  </si>
  <si>
    <t>70321</t>
  </si>
  <si>
    <t>FLAVIO HENRIQUE ALMEIDA FERREIRA DE MELO</t>
  </si>
  <si>
    <t>SUPERINTENDENTE REGIONAL</t>
  </si>
  <si>
    <t>REGIONAL EQUATORIAL</t>
  </si>
  <si>
    <t>BRUNO NUNES DE SOUZA SANTOS</t>
  </si>
  <si>
    <t>1862972</t>
  </si>
  <si>
    <t>LEONARDO OLIVEIRA SOARES SILVA</t>
  </si>
  <si>
    <t>CRM - ANALITICO</t>
  </si>
  <si>
    <t>1645161</t>
  </si>
  <si>
    <t>PEDRO PABLO BRAGA GARCIA</t>
  </si>
  <si>
    <t>1942821</t>
  </si>
  <si>
    <t>PJ28</t>
  </si>
  <si>
    <t>IGOR ARAUJO</t>
  </si>
  <si>
    <t>CIENTISTA DE DADOS CRM</t>
  </si>
  <si>
    <t>CAMILA DA SILVA ANDRADE</t>
  </si>
  <si>
    <t>13151</t>
  </si>
  <si>
    <t>ALINE BASSO DE AZEVEDO</t>
  </si>
  <si>
    <t>ANALISTA DE PESSOAS E CULTURA JR</t>
  </si>
  <si>
    <t>P&amp;C - DHO</t>
  </si>
  <si>
    <t>2190513</t>
  </si>
  <si>
    <t>MICHELE CRISTINA DE SOUZA OLIVEIRA</t>
  </si>
  <si>
    <t>ANALISTA DE PESSOAS E CULTURA SR</t>
  </si>
  <si>
    <t>2523337</t>
  </si>
  <si>
    <t>WYNDERSON FERREIRA DIAS</t>
  </si>
  <si>
    <t>ASSISTENTE DE PESSOAS E CULTURA</t>
  </si>
  <si>
    <t>1375787</t>
  </si>
  <si>
    <t>MARCELA ALVES SILVA NEPOMUCENO</t>
  </si>
  <si>
    <t>ANALISTA DE PROJETOS PL</t>
  </si>
  <si>
    <t>898826</t>
  </si>
  <si>
    <t>SABRINE ALVES DA CUNHA</t>
  </si>
  <si>
    <t>2607063</t>
  </si>
  <si>
    <t>PJ47</t>
  </si>
  <si>
    <t>VITOR DE MELO FRANÇA</t>
  </si>
  <si>
    <t>140627</t>
  </si>
  <si>
    <t>WANESSA FRANCIELE RODRIGUES</t>
  </si>
  <si>
    <t>2368960</t>
  </si>
  <si>
    <t>PJ37</t>
  </si>
  <si>
    <t>HENRIQUE WOLLMER</t>
  </si>
  <si>
    <t>ANALISTA DE PROJETOS SR</t>
  </si>
  <si>
    <t>2102833</t>
  </si>
  <si>
    <t>THAMIRES DE ARAUJO RODRIGUES</t>
  </si>
  <si>
    <t>390619</t>
  </si>
  <si>
    <t>THAIS POVOA FREITAS COSTA</t>
  </si>
  <si>
    <t>ASSISTENTE DE PROJETOS</t>
  </si>
  <si>
    <t>CAROLINE PAIXÃO VIEIRA DE SENA</t>
  </si>
  <si>
    <t>2538061</t>
  </si>
  <si>
    <t>RODRIGO FERREIRA DA SILVA</t>
  </si>
  <si>
    <t>ANALISTA FINANCEIRO JR</t>
  </si>
  <si>
    <t>FINANCAS - FINANCEIRO</t>
  </si>
  <si>
    <t>2578867</t>
  </si>
  <si>
    <t>VICTORIA CAROLINNE SOLANO NOVAIS</t>
  </si>
  <si>
    <t>50754</t>
  </si>
  <si>
    <t>JENNEFER HONORIO SOUZA</t>
  </si>
  <si>
    <t>ANALISTA FINANCEIRO SR</t>
  </si>
  <si>
    <t>2497675</t>
  </si>
  <si>
    <t>STEPHANY MAGALHAES DIAS</t>
  </si>
  <si>
    <t>ASSISTENTE FINANCEIRO</t>
  </si>
  <si>
    <t>2173869</t>
  </si>
  <si>
    <t>VITORIA BARBOSA SENRA</t>
  </si>
  <si>
    <t>CATERINE NUNES BARBOSA</t>
  </si>
  <si>
    <t>2317122</t>
  </si>
  <si>
    <t>CAIO DIAS EVANGELISTA</t>
  </si>
  <si>
    <t>ANALISTA DE DADOS JR</t>
  </si>
  <si>
    <t>OPERACOES - INTELIGENCIA</t>
  </si>
  <si>
    <t>1034622</t>
  </si>
  <si>
    <t>MATEUS VITOR VIEIRA</t>
  </si>
  <si>
    <t>ANALISTA DE DADOS PLENO</t>
  </si>
  <si>
    <t>2541887</t>
  </si>
  <si>
    <t>PJ43</t>
  </si>
  <si>
    <t>MATHEUS PLAVIAK</t>
  </si>
  <si>
    <t>1939711</t>
  </si>
  <si>
    <t>JOAO VICTOR DE OLIVEIRA</t>
  </si>
  <si>
    <t>ANALISTA DE PROCESSAMENTO DE DADOS JR</t>
  </si>
  <si>
    <t>AQUILES VILAR MOTA GUIMARÃES</t>
  </si>
  <si>
    <t>1030118</t>
  </si>
  <si>
    <t>PJ08</t>
  </si>
  <si>
    <t>RONALDO BRUNO DE SOUZA SANTOS</t>
  </si>
  <si>
    <t>LIDER 2</t>
  </si>
  <si>
    <t>TI - CTN GLOBAL</t>
  </si>
  <si>
    <t>628459</t>
  </si>
  <si>
    <t>LUIS FERNANDO KALIL ROSENBURG DE CASTRO</t>
  </si>
  <si>
    <t>LIDER 3</t>
  </si>
  <si>
    <t>TI - DESENVOLVIMENTO/PRODUTO</t>
  </si>
  <si>
    <t>2011562</t>
  </si>
  <si>
    <t>VANUZA DOS SANTOS PRESTES</t>
  </si>
  <si>
    <t>TI - SEGURANÇA / GOVERNANÇA</t>
  </si>
  <si>
    <t>DENIS GABRIEL ABREU DE MELO</t>
  </si>
  <si>
    <t>EDUARDO DE OLIVEIRA VALENTIM</t>
  </si>
  <si>
    <t>2151340</t>
  </si>
  <si>
    <t>JEFFERSON REBOUCAS RODRIGUES</t>
  </si>
  <si>
    <t>DESENVOLVEDOR I</t>
  </si>
  <si>
    <t>TI - MOTOR RCE</t>
  </si>
  <si>
    <t>2274281</t>
  </si>
  <si>
    <t>GABRIEL ARAUJO FREITAS</t>
  </si>
  <si>
    <t>DESENVOLVEDOR II</t>
  </si>
  <si>
    <t>2315901</t>
  </si>
  <si>
    <t>PEDRO HENRIQUE ALVES LUZ</t>
  </si>
  <si>
    <t>1194696</t>
  </si>
  <si>
    <t>RENATA MITSUE KARATO</t>
  </si>
  <si>
    <t>2563286</t>
  </si>
  <si>
    <t>CLARISSA CARLA XAVIER DA SILVA ROSA</t>
  </si>
  <si>
    <t>DESENVOLVEDOR III</t>
  </si>
  <si>
    <t>1375813</t>
  </si>
  <si>
    <t>THIAGO FARIAS DUTRA</t>
  </si>
  <si>
    <t>DIEGO PIRES</t>
  </si>
  <si>
    <t>2196406</t>
  </si>
  <si>
    <t>1820266</t>
  </si>
  <si>
    <t>KARLA KAROLINY TIAGO DA PAIVA</t>
  </si>
  <si>
    <t>ANALISTA DE OPERACOES PL</t>
  </si>
  <si>
    <t>1683985</t>
  </si>
  <si>
    <t>MARIANA CRISTINA PEREIRA LOPES</t>
  </si>
  <si>
    <t>1937833</t>
  </si>
  <si>
    <t>TATIANE CRISTINA DAS MERCES</t>
  </si>
  <si>
    <t>ASSISTENTE DE OPERACOES</t>
  </si>
  <si>
    <t>ELISANGELA PEDRO RODRIGUES OLIVEIRA</t>
  </si>
  <si>
    <t>MAIARA SCHWENGBER CORREA</t>
  </si>
  <si>
    <t>331800</t>
  </si>
  <si>
    <t>NATALIA XAVIER REIS</t>
  </si>
  <si>
    <t>P&amp;C - DESENHO ORG</t>
  </si>
  <si>
    <t>2538088</t>
  </si>
  <si>
    <t>STHEFANIE KEROLYN TOMAZ DE ALMEIDA</t>
  </si>
  <si>
    <t>ELISON GLAUBER DE CASTRO</t>
  </si>
  <si>
    <t>2461031</t>
  </si>
  <si>
    <t>LIVIA CRISTINE DE OLIVEIRA</t>
  </si>
  <si>
    <t>CRM - DEV</t>
  </si>
  <si>
    <t>2440558</t>
  </si>
  <si>
    <t>RICARDO VITAL MARTINS TORRES</t>
  </si>
  <si>
    <t>2362473</t>
  </si>
  <si>
    <t>PJ39</t>
  </si>
  <si>
    <t>PEDRO AUGUSTO LEAO LIMA</t>
  </si>
  <si>
    <t>VICTOR JOSE ALVES FERNANDES</t>
  </si>
  <si>
    <t>1070362</t>
  </si>
  <si>
    <t>PEDRO HENRIQUE COSTA OLIVEIRA</t>
  </si>
  <si>
    <t>PRODUCT OPS JR</t>
  </si>
  <si>
    <t>TI - CTN BRASIL</t>
  </si>
  <si>
    <t>2495114</t>
  </si>
  <si>
    <t>ADALBERTO MARTINS DE ARQUISA</t>
  </si>
  <si>
    <t>2151327</t>
  </si>
  <si>
    <t>ALISSON ARAÚJO CAVALCANTE</t>
  </si>
  <si>
    <t>2419037</t>
  </si>
  <si>
    <t>ANA LAURA DE ALBUQUERQUE LOPES</t>
  </si>
  <si>
    <t>2187306</t>
  </si>
  <si>
    <t>GILSON JUNIO SILVA</t>
  </si>
  <si>
    <t>2151307</t>
  </si>
  <si>
    <t>JAIRA LEANDRO DE PAULA BACELAR</t>
  </si>
  <si>
    <t>2151328</t>
  </si>
  <si>
    <t>KAMILA PEREIRA SANTOS</t>
  </si>
  <si>
    <t>2151303</t>
  </si>
  <si>
    <t>RAYANNE ANDRESSA TEIXEIRA MORAIS</t>
  </si>
  <si>
    <t>1292999</t>
  </si>
  <si>
    <t>EDUARDA TERRA DO ESPÍRITO SANTO</t>
  </si>
  <si>
    <t>1718015</t>
  </si>
  <si>
    <t>JEOVANA PAULA VIEIRA</t>
  </si>
  <si>
    <t>1375789</t>
  </si>
  <si>
    <t>LUCAS BORGES DE SOUZA</t>
  </si>
  <si>
    <t>GIOVANNA DE ARAUJO GIACON</t>
  </si>
  <si>
    <t>2497705</t>
  </si>
  <si>
    <t>VITOR ZARETZKI DE SOUZA</t>
  </si>
  <si>
    <t>DESENVOLVEDOR UI UX PL</t>
  </si>
  <si>
    <t xml:space="preserve">TI - APP VENDEDOR </t>
  </si>
  <si>
    <t>GUSTAVO ARANDA DAMBROSKI</t>
  </si>
  <si>
    <t>236118</t>
  </si>
  <si>
    <t>EMANUELLY ASSUERIA BEZERRA MARTINS</t>
  </si>
  <si>
    <t xml:space="preserve">TI - CTN GLOBAL </t>
  </si>
  <si>
    <t>HAYNA CARDOSO PINTO</t>
  </si>
  <si>
    <t>1375807</t>
  </si>
  <si>
    <t>TIAGO PEREIRA DO NASCIMENTO</t>
  </si>
  <si>
    <t>TI - APP VENDEDOR</t>
  </si>
  <si>
    <t>1684079</t>
  </si>
  <si>
    <t>VINICIUS NASCIMENTO</t>
  </si>
  <si>
    <t>ICARO VILAR MOTA GUIMARAES</t>
  </si>
  <si>
    <t>1286039</t>
  </si>
  <si>
    <t>PJ15</t>
  </si>
  <si>
    <t>FERNANDO BAUMANN MARCOMINI</t>
  </si>
  <si>
    <t>EXPANSÃO INTERNACIONAL</t>
  </si>
  <si>
    <t>70234</t>
  </si>
  <si>
    <t>PJ14</t>
  </si>
  <si>
    <t>SEVERINO SERAFIM RODRIGUES</t>
  </si>
  <si>
    <t>70337</t>
  </si>
  <si>
    <t>IN1</t>
  </si>
  <si>
    <t>STAEL MARLEI DE SOUZA E SILVA</t>
  </si>
  <si>
    <t>GERENTE DE INCORPORAÇÕES</t>
  </si>
  <si>
    <t>TODOS Incorporações</t>
  </si>
  <si>
    <t>INCORPORA - GERENCIA</t>
  </si>
  <si>
    <t>JEZI FERNANDO OLIVEIRA</t>
  </si>
  <si>
    <t>2571363</t>
  </si>
  <si>
    <t>KETTULY FERNANDA ALVES DE AMORIM SANTIAGO</t>
  </si>
  <si>
    <t>COORDENADOR MELHORIA CONTÍNUA</t>
  </si>
  <si>
    <t>FINANCAS - MELHORIA CONTINUA</t>
  </si>
  <si>
    <t>233652</t>
  </si>
  <si>
    <t>JESSYCA MONIQUE RODRIGUES</t>
  </si>
  <si>
    <t>ANALISTA DE COMPRAS JR</t>
  </si>
  <si>
    <t>2319673</t>
  </si>
  <si>
    <t>GERALDO GLICERIO DA SILVA JUNIOR</t>
  </si>
  <si>
    <t>ANALISTA DE IMPLANTAÇÃO ERP PLENO</t>
  </si>
  <si>
    <t>1013132</t>
  </si>
  <si>
    <t>LARISSA MARQUES ANASTACIO</t>
  </si>
  <si>
    <t>ANALISTA DE PROCESSOS JR</t>
  </si>
  <si>
    <t>233601</t>
  </si>
  <si>
    <t>LUIZ GUSTAVO FERREIRA DOS REIS</t>
  </si>
  <si>
    <t>ANALISTA DE PROCESSOS PL</t>
  </si>
  <si>
    <t>1975872</t>
  </si>
  <si>
    <t>RAISSA MENDES LOPES</t>
  </si>
  <si>
    <t>ASSISTENTE DE VIAGENS E EVENTOS</t>
  </si>
  <si>
    <t>LEON DOS REIS CALIXTO</t>
  </si>
  <si>
    <t>13183</t>
  </si>
  <si>
    <t>LUCAS BICALHO DE FREITAS</t>
  </si>
  <si>
    <t>GERENTE DE INTELIGÊNCIA DE NEGÓCIOS</t>
  </si>
  <si>
    <t>1399165</t>
  </si>
  <si>
    <t>GERENTE DE OPERAÇÕES</t>
  </si>
  <si>
    <t>250458</t>
  </si>
  <si>
    <t>COORDENADOR CONTÁBIL</t>
  </si>
  <si>
    <t>FINANCAS - FP&amp;A</t>
  </si>
  <si>
    <t>2075471</t>
  </si>
  <si>
    <t>THIAGO DA SILVA CHISNANDES</t>
  </si>
  <si>
    <t>COORDENADOR DE PLANEJAMENTO FINANCEIRO E ORÇAMENTARIO</t>
  </si>
  <si>
    <t>2563064</t>
  </si>
  <si>
    <t>COORDENADOR FINANCEIRO</t>
  </si>
  <si>
    <t>1985148</t>
  </si>
  <si>
    <t>ERIC MARTINS DE OLIVEIRA</t>
  </si>
  <si>
    <t>OPERACOES - DADOS</t>
  </si>
  <si>
    <t>2317120</t>
  </si>
  <si>
    <t>KARINE CRISTINE OLIVEIRA</t>
  </si>
  <si>
    <t>2274206</t>
  </si>
  <si>
    <t>WILLIAN SABINO DE SOUZA</t>
  </si>
  <si>
    <t>866317</t>
  </si>
  <si>
    <t>GABRIEL SOUZA ALVES</t>
  </si>
  <si>
    <t>ANALISTA DE PROCESSAMENTO DE DADOS PL</t>
  </si>
  <si>
    <t>2368988</t>
  </si>
  <si>
    <t>PJ35</t>
  </si>
  <si>
    <t>COORDENADOR/A DE DADOS</t>
  </si>
  <si>
    <t>13198</t>
  </si>
  <si>
    <t>RENATO TSUYOSHI MIURA MONFORTE</t>
  </si>
  <si>
    <t>ENGENHEIRO ANALÍTICO</t>
  </si>
  <si>
    <t>OPERACOES - ENGENHARIA</t>
  </si>
  <si>
    <t>121482</t>
  </si>
  <si>
    <t>MATHEUS BICALHO DE FREITAS</t>
  </si>
  <si>
    <t>ENGENHEIRO DE DADOS</t>
  </si>
  <si>
    <t>235707</t>
  </si>
  <si>
    <t>VINICIUS ANDRADE LOPES</t>
  </si>
  <si>
    <t>ENGENHEIRO DE DADOS JUNIOR</t>
  </si>
  <si>
    <t>13177</t>
  </si>
  <si>
    <t>LARISSA RODRIGUES DIAS</t>
  </si>
  <si>
    <t>PRODUCT OWNER PL</t>
  </si>
  <si>
    <t>LUCAS BUETTO DE ANGELIS</t>
  </si>
  <si>
    <t>2190504</t>
  </si>
  <si>
    <t>THIAGO DA PAZ SANTOS JUNIOR</t>
  </si>
  <si>
    <t>TI - CHECKOUT</t>
  </si>
  <si>
    <t>2626259</t>
  </si>
  <si>
    <t>NICOLE EMILY FERREIRA DE LIMA</t>
  </si>
  <si>
    <t>2663191</t>
  </si>
  <si>
    <t>GABRIEL FELIPE KRABBE</t>
  </si>
  <si>
    <t>DESENVOLVEDOR IV</t>
  </si>
  <si>
    <t>TI - DADOS</t>
  </si>
  <si>
    <t>2190446</t>
  </si>
  <si>
    <t>WALLACE RODRIGUES MEDEIROS</t>
  </si>
  <si>
    <t>ESPECIALISTA I</t>
  </si>
  <si>
    <t>TI - DESENVOLVIMENTO / PRODUTO</t>
  </si>
  <si>
    <t>2663187</t>
  </si>
  <si>
    <t>JULIANO ANDRÉ PIEROBOM DE AVILA</t>
  </si>
  <si>
    <t>ESPECIALISTA II</t>
  </si>
  <si>
    <t>860317</t>
  </si>
  <si>
    <t>LIDER 1</t>
  </si>
  <si>
    <t>2522175</t>
  </si>
  <si>
    <t>PJ45</t>
  </si>
  <si>
    <t>VINICIUS MIGUEL PEREIRA CUNHA</t>
  </si>
  <si>
    <t>LÍDER 1</t>
  </si>
  <si>
    <t>2626350</t>
  </si>
  <si>
    <t>PJ48</t>
  </si>
  <si>
    <t>VINICIUS MASSULLO SILVA</t>
  </si>
  <si>
    <t>PRODUCT OWNER SR</t>
  </si>
  <si>
    <t>LUÍS HENRIQUE SOARES DUTRA DE ANDRADE</t>
  </si>
  <si>
    <t>1055634</t>
  </si>
  <si>
    <t>ESTHER NICOLI RIBEIRO</t>
  </si>
  <si>
    <t>REGIONAL SÃO PAULO - MINAS</t>
  </si>
  <si>
    <t>348906</t>
  </si>
  <si>
    <t>HENDRIC CAVALCANTE DE OLIVEIRA ANDRADE</t>
  </si>
  <si>
    <t>782563</t>
  </si>
  <si>
    <t>NELSON MANOEL DE NASCIMENTO JUNIOR</t>
  </si>
  <si>
    <t>2173951</t>
  </si>
  <si>
    <t>RAFAELA FRANCO FERREIRA</t>
  </si>
  <si>
    <t>2173953</t>
  </si>
  <si>
    <t>THAIS LUANA BARBOSA DA SILVA</t>
  </si>
  <si>
    <t>2190506</t>
  </si>
  <si>
    <t>THIAGO BATISTA ROSELLI</t>
  </si>
  <si>
    <t>RODRIGO ASSUMPÇÃO</t>
  </si>
  <si>
    <t>809709</t>
  </si>
  <si>
    <t>HEIDI HELEN SEARA DE OLIVEIRA</t>
  </si>
  <si>
    <t>1490555</t>
  </si>
  <si>
    <t>COORDENADOR DE PESSOAS E CULTURA</t>
  </si>
  <si>
    <t>985260</t>
  </si>
  <si>
    <t>13194</t>
  </si>
  <si>
    <t>NUBIA AQUINO DA SILVA</t>
  </si>
  <si>
    <t>P&amp;C - ADM PESSOAL</t>
  </si>
  <si>
    <t>MARCELA REGGIANI MORAES</t>
  </si>
  <si>
    <t>2600146</t>
  </si>
  <si>
    <t>GABRIELA ARBELLI COLAQUISES ZAGO</t>
  </si>
  <si>
    <t>P&amp;C - RECRUTAMENTO</t>
  </si>
  <si>
    <t>1939691</t>
  </si>
  <si>
    <t>ANA BEATRIZ DA SILVA COSTA</t>
  </si>
  <si>
    <t>2634375</t>
  </si>
  <si>
    <t>MARIA LUIZA FERREIRA PINTO</t>
  </si>
  <si>
    <t>2396401</t>
  </si>
  <si>
    <t>KATHARYNE CRISTINA LOPES DA SILVA</t>
  </si>
  <si>
    <t>MARIANA DE ALBUQUERQUE LOPES</t>
  </si>
  <si>
    <t>458230</t>
  </si>
  <si>
    <t>Q</t>
  </si>
  <si>
    <t>ASSISTENTE DE EVENTOS</t>
  </si>
  <si>
    <t>P&amp;C - EVENTOS</t>
  </si>
  <si>
    <t>MATHEUS ARTHUR FACHIN</t>
  </si>
  <si>
    <t>1030104</t>
  </si>
  <si>
    <t>PJ01</t>
  </si>
  <si>
    <t>EDUARDO KRAMER LAGUNA</t>
  </si>
  <si>
    <t>DESENVOLVEDOR</t>
  </si>
  <si>
    <t>1030108</t>
  </si>
  <si>
    <t>PJ02</t>
  </si>
  <si>
    <t>GIOVANE AIRTON TIMM</t>
  </si>
  <si>
    <t>1030114</t>
  </si>
  <si>
    <t>PJ05</t>
  </si>
  <si>
    <t>LUCAS EDUARDO MOCELIN</t>
  </si>
  <si>
    <t>1240405</t>
  </si>
  <si>
    <t>PJ06</t>
  </si>
  <si>
    <t>MATEUS HENRIQUE CAVALCANTE</t>
  </si>
  <si>
    <t>2506232</t>
  </si>
  <si>
    <t>PAOLA JULIE DOS SANTOS DA SILVA</t>
  </si>
  <si>
    <t>1192158</t>
  </si>
  <si>
    <t>PJ10</t>
  </si>
  <si>
    <t>WILLIAN MITSUO HISSAMURA ABE</t>
  </si>
  <si>
    <t>1505537</t>
  </si>
  <si>
    <t>LARISSA SANTOS LIMA</t>
  </si>
  <si>
    <t>31191</t>
  </si>
  <si>
    <t>SERGIO LUIZ PACHECO</t>
  </si>
  <si>
    <t>13163</t>
  </si>
  <si>
    <t>FREDERICO FERREIRA ARAUJO</t>
  </si>
  <si>
    <t>1589092</t>
  </si>
  <si>
    <t>PJ25</t>
  </si>
  <si>
    <t>RICARDO AKIO JURACH FUKUI</t>
  </si>
  <si>
    <t>2497680</t>
  </si>
  <si>
    <t>FELIPE SILVA SANTANA DOS SANTOS</t>
  </si>
  <si>
    <t>_</t>
  </si>
  <si>
    <t>NÃO ATRIBUIDO</t>
  </si>
  <si>
    <t>15020</t>
  </si>
  <si>
    <t>S01</t>
  </si>
  <si>
    <t>PRESIDENTE</t>
  </si>
  <si>
    <t>PRESIDENCIA</t>
  </si>
  <si>
    <t>860320</t>
  </si>
  <si>
    <t>ANA CAROLINA DE ALMEIDA CAMPOS NAKABA</t>
  </si>
  <si>
    <t>45599</t>
  </si>
  <si>
    <t>GABRIELA ARAUJO DE SOUZA</t>
  </si>
  <si>
    <t>1273795</t>
  </si>
  <si>
    <t>REBECCA LOHAYNE BARROS VIEIRA ROCHA</t>
  </si>
  <si>
    <t>236076</t>
  </si>
  <si>
    <t>CAROLINE ANDRADE SANTOS BACELAR</t>
  </si>
  <si>
    <t>ANALISTA DE COMUNICAÇÃO SENIOR</t>
  </si>
  <si>
    <t>P&amp;C - CULTURA</t>
  </si>
  <si>
    <t>2498051</t>
  </si>
  <si>
    <t>LUIZ GUSTAVO GOMES CLEMENTE</t>
  </si>
  <si>
    <t>734857</t>
  </si>
  <si>
    <t>COORDENADOR ADMINISTRATIVO</t>
  </si>
  <si>
    <t>1485223</t>
  </si>
  <si>
    <t>2041918</t>
  </si>
  <si>
    <t>RAMON BARCELOS VILAR GUIMARÃES</t>
  </si>
  <si>
    <t>2578876</t>
  </si>
  <si>
    <t>MARIO GABRIEL PEDROSO SILVA</t>
  </si>
  <si>
    <t>236613</t>
  </si>
  <si>
    <t>RAPHAEL AZEVEDO</t>
  </si>
  <si>
    <t>2701261</t>
  </si>
  <si>
    <t>PJ</t>
  </si>
  <si>
    <t>FERNANDA DE SOUZA SILVEIRA</t>
  </si>
  <si>
    <t>1055618</t>
  </si>
  <si>
    <t>2134634</t>
  </si>
  <si>
    <t>ARTHUR RODRIGUES MENEZES</t>
  </si>
  <si>
    <t>ASSISTENTE DE SUPORTE</t>
  </si>
  <si>
    <t>1752692</t>
  </si>
  <si>
    <t>CAUA MARQUES GOMES DA SILVA FARIA</t>
  </si>
  <si>
    <t>2440554</t>
  </si>
  <si>
    <t>CHRISTIAN NEVES TORRES</t>
  </si>
  <si>
    <t>2461025</t>
  </si>
  <si>
    <t>DAMARIS MARTINHO SOARES SOUZA</t>
  </si>
  <si>
    <t>1635811</t>
  </si>
  <si>
    <t>ERICK GONCALVES OLIVEIRA</t>
  </si>
  <si>
    <t>867067</t>
  </si>
  <si>
    <t>MATHEUS FERNANDO OLIVEIRA ROCHA</t>
  </si>
  <si>
    <t>1236481</t>
  </si>
  <si>
    <t>SERGIO TEIXEIRA DA COSTA FILHO</t>
  </si>
  <si>
    <t>1623125</t>
  </si>
  <si>
    <t>GERENTE DE PESSOAS E CULTURA</t>
  </si>
  <si>
    <t>P&amp;C - GERENCIA</t>
  </si>
  <si>
    <t>2057363</t>
  </si>
  <si>
    <t>GERENTE DE CSC</t>
  </si>
  <si>
    <t>FINANÇAS - GERENCIA</t>
  </si>
  <si>
    <t>13182</t>
  </si>
  <si>
    <t>GERENTE DE FINANÇAS</t>
  </si>
  <si>
    <t>RODNEY DUARTE DOS SANTOS</t>
  </si>
  <si>
    <t>2271497</t>
  </si>
  <si>
    <t>IVAN WALLACE DA CUNHA CASTANHEIRA</t>
  </si>
  <si>
    <t>ANALISTA DE GOVERNANCA EM TI</t>
  </si>
  <si>
    <t>TI - SEGURANCA</t>
  </si>
  <si>
    <t>2180335</t>
  </si>
  <si>
    <t>IGOR PAULINELLI NOVAIS</t>
  </si>
  <si>
    <t>ANALISTA DE SEGURANÇA DA INFORMAÇÃO PL</t>
  </si>
  <si>
    <t>2440570</t>
  </si>
  <si>
    <t>BRUNIELE DE JUNIO</t>
  </si>
  <si>
    <t>ANALISTA DE SEGURANÇA DA INFORMACAO SENI</t>
  </si>
  <si>
    <t>2483637</t>
  </si>
  <si>
    <t>JOÃO MARIO DE OLIVEIRA FREITAS</t>
  </si>
  <si>
    <t>809712</t>
  </si>
  <si>
    <t>ANDRE LUIZ SILVA DE PAULA</t>
  </si>
  <si>
    <t>REGIONAL INTERIOR</t>
  </si>
  <si>
    <t>2483486</t>
  </si>
  <si>
    <t>EMERSON OLIVEIRA SILVA</t>
  </si>
  <si>
    <t>2145584</t>
  </si>
  <si>
    <t>JESSICA FERNANDA DE MACEDO</t>
  </si>
  <si>
    <t>2174238</t>
  </si>
  <si>
    <t>JÚLIO CESAR RAMOS JUNIOR</t>
  </si>
  <si>
    <t>2490626</t>
  </si>
  <si>
    <t>KAREN DA SILVA RAMOS FIDELES</t>
  </si>
  <si>
    <t>2174248</t>
  </si>
  <si>
    <t>LUCAS HENRIQUE BENTO BARRETO</t>
  </si>
  <si>
    <t>2145608</t>
  </si>
  <si>
    <t>RONALDO TRIGO DE OLIVEIRA DA SILVA</t>
  </si>
  <si>
    <t>2174002</t>
  </si>
  <si>
    <t>RONNIE DE ASSIS OLIVEIRA</t>
  </si>
  <si>
    <t>1314501</t>
  </si>
  <si>
    <t>THIAGO YUDI NISHIMOTO</t>
  </si>
  <si>
    <t>866344</t>
  </si>
  <si>
    <t>HUGO DE MELO CARVALHO</t>
  </si>
  <si>
    <t>ANALISTA DE SUPORTE JR</t>
  </si>
  <si>
    <t>2600113</t>
  </si>
  <si>
    <t>RAFAEL PIRES GALINARI FERREIRA</t>
  </si>
  <si>
    <t>1030122</t>
  </si>
  <si>
    <t>PJ09</t>
  </si>
  <si>
    <t>WELLYNGTON ALVES BORGES</t>
  </si>
  <si>
    <t>1040104</t>
  </si>
  <si>
    <t>1032170</t>
  </si>
  <si>
    <t>1030124</t>
  </si>
  <si>
    <t>PJ19</t>
  </si>
  <si>
    <t>1030116</t>
  </si>
  <si>
    <t>PJ07</t>
  </si>
  <si>
    <t>SAMUEL NUNES RIOS SILVA</t>
  </si>
  <si>
    <t>663958</t>
  </si>
  <si>
    <t>THAIS HERINGER DA SILVA</t>
  </si>
  <si>
    <t>13218</t>
  </si>
  <si>
    <t>VICTOR ARAUJO PORTO</t>
  </si>
  <si>
    <t>PRODUCT OPS PLENO</t>
  </si>
  <si>
    <t>TI - MOTOR RCE PO</t>
  </si>
  <si>
    <t>236295</t>
  </si>
  <si>
    <t>MARIA APARECIDA FERRAZ</t>
  </si>
  <si>
    <t>AUXILIAR DE SERVICOS GERAIS</t>
  </si>
  <si>
    <t>ADM GERAL</t>
  </si>
  <si>
    <t>236385</t>
  </si>
  <si>
    <t>MARIA DO CARMO SILVA</t>
  </si>
  <si>
    <t>2461252</t>
  </si>
  <si>
    <t>ISADORA MARIA DIAS DE CARVALHO</t>
  </si>
  <si>
    <t>RECEPCIONISTA</t>
  </si>
  <si>
    <t>2563257</t>
  </si>
  <si>
    <t>RAIANE JAMILLY ALVES SIMPLICIO</t>
  </si>
  <si>
    <t>236292</t>
  </si>
  <si>
    <t>MARCOS VINICIUS DA SILVA</t>
  </si>
  <si>
    <t>SERVICOS DE MANUTENCAO E EDIFICACOES</t>
  </si>
  <si>
    <t>1866640</t>
  </si>
  <si>
    <t>TAYNARA CANDIDO SATURNO DA SILVA</t>
  </si>
  <si>
    <t>ANALISTA DE QUALIDADE</t>
  </si>
  <si>
    <t>1782136</t>
  </si>
  <si>
    <t>LUCAS ALVES DUARTE</t>
  </si>
  <si>
    <t>ANALISTA DE QUALIDADE PL</t>
  </si>
  <si>
    <t>2396448</t>
  </si>
  <si>
    <t>PEDRO AUGUSTO SANTANA SILVA</t>
  </si>
  <si>
    <t>AUXILIAR DE QUALIDADE</t>
  </si>
  <si>
    <t>2571297</t>
  </si>
  <si>
    <t>GILCILENE LOPES LIMA</t>
  </si>
  <si>
    <t>ANALISTA ADMINISTRATIVO FINANCEIRO JR</t>
  </si>
  <si>
    <t>INCORPORA - COLABORADOR</t>
  </si>
  <si>
    <t>2264557</t>
  </si>
  <si>
    <t>IRIANE JOYCE ALVES INACIO DE MATOS</t>
  </si>
  <si>
    <t>1328501</t>
  </si>
  <si>
    <t>IN5</t>
  </si>
  <si>
    <t>MARIANA ALEXANDRINA MACHADO CESARIO</t>
  </si>
  <si>
    <t>2130117</t>
  </si>
  <si>
    <t>IN13</t>
  </si>
  <si>
    <t>CRISTIANO ALVES GONDIN</t>
  </si>
  <si>
    <t>ANALISTA DE ENGENHARIA JR</t>
  </si>
  <si>
    <t>236760</t>
  </si>
  <si>
    <t>IN3</t>
  </si>
  <si>
    <t>LAYZA MARIONE RODRIGUES GOMES</t>
  </si>
  <si>
    <t>2642699</t>
  </si>
  <si>
    <t>KASSIA SOUZA DUARTE</t>
  </si>
  <si>
    <t>458104</t>
  </si>
  <si>
    <t>IN2</t>
  </si>
  <si>
    <t>STEPHANY CASSEMIRO RIBEIRO</t>
  </si>
  <si>
    <t>ASSISTENTE DE PROJETOS DE ARQUITETURA</t>
  </si>
  <si>
    <t>2029544</t>
  </si>
  <si>
    <t>IN11</t>
  </si>
  <si>
    <t>FERNANDO ADRIANO LOURENCO</t>
  </si>
  <si>
    <t>DESENVOLVEDOR JR</t>
  </si>
  <si>
    <t>2362487</t>
  </si>
  <si>
    <t>CHRISTIAM ROBERT PIRES PEREIRA</t>
  </si>
  <si>
    <t>VENDEDOR INTERNO</t>
  </si>
  <si>
    <t>1525947</t>
  </si>
  <si>
    <t>IN9</t>
  </si>
  <si>
    <t>THIAGO HENRIQUE DOS SANTOS</t>
  </si>
  <si>
    <t>1772334</t>
  </si>
  <si>
    <t>CHIEF CUSTOMER EXPERIENCE OFFICER - CCXO</t>
  </si>
  <si>
    <t>CRM - DIRETORIA</t>
  </si>
  <si>
    <t>121485</t>
  </si>
  <si>
    <t>CHIEF OPERATING OFFICER COO</t>
  </si>
  <si>
    <t>OPERACOES - DIRETORIA</t>
  </si>
  <si>
    <t>1299967</t>
  </si>
  <si>
    <t>DIRETOR EXECUTIVO PLANETA DE TODOS</t>
  </si>
  <si>
    <t>13154</t>
  </si>
  <si>
    <t>PJ16</t>
  </si>
  <si>
    <t>DIRETOR REGIONAL</t>
  </si>
  <si>
    <t>REGIONAL EQUATORIAL - DIRETORIA</t>
  </si>
  <si>
    <t>70319</t>
  </si>
  <si>
    <t>PJ17</t>
  </si>
  <si>
    <t>REGIONAL CENTRO SUL - DIRETORIA</t>
  </si>
  <si>
    <t>70338</t>
  </si>
  <si>
    <t>PJ23</t>
  </si>
  <si>
    <t>REGIONAL COSTA LESTE - DIRETORIA</t>
  </si>
  <si>
    <t>70320</t>
  </si>
  <si>
    <t>PJ24</t>
  </si>
  <si>
    <t>REGIONAL SÃO PAULO - MINAS - DIRETORIA</t>
  </si>
  <si>
    <t>70327</t>
  </si>
  <si>
    <t>PJ26</t>
  </si>
  <si>
    <t>REGIONAL INTERIOR - DIRETORIA</t>
  </si>
  <si>
    <t>2317791</t>
  </si>
  <si>
    <t>ERIK HENRIQUE DIAS FERREIRA</t>
  </si>
  <si>
    <t>ANALISTA DE FP&amp;A PL</t>
  </si>
  <si>
    <t>FINANCAS</t>
  </si>
  <si>
    <t>2011504</t>
  </si>
  <si>
    <t>LAIS GANDRA CARVALHO</t>
  </si>
  <si>
    <t>2011517</t>
  </si>
  <si>
    <t>GABRIEL HENRIQUE GOMES CALAZANS</t>
  </si>
  <si>
    <t>ANALISTA DE PLANEJAMENTO FINANCE ORÇAM JR</t>
  </si>
  <si>
    <t>TIAGO DANIEL DE SOUZA</t>
  </si>
  <si>
    <t>2315650</t>
  </si>
  <si>
    <t>DENIS SIQUEIRA MOURA</t>
  </si>
  <si>
    <t>ANALISTA DE GOVERNANCA EM TI SENIOR</t>
  </si>
  <si>
    <t>TI - GOVERNANCA</t>
  </si>
  <si>
    <t>2457586</t>
  </si>
  <si>
    <t>TAILY PEREIRA DE CARVALHO</t>
  </si>
  <si>
    <t>2563667</t>
  </si>
  <si>
    <t>NADABY HAUANE DOURADO DE OLIVEIRA</t>
  </si>
  <si>
    <t>ANALISTA DE GOVERNANÇA JR</t>
  </si>
  <si>
    <t>1435263</t>
  </si>
  <si>
    <t>RAFAELA MOTA MEIRELES DO NASCIMENTO</t>
  </si>
  <si>
    <t>ANALISTA DE GOVERNANÇA PLENO</t>
  </si>
  <si>
    <t>1636271</t>
  </si>
  <si>
    <t>TAMARA FERNANDA DE AZEVEDO BARBOSA</t>
  </si>
  <si>
    <t>2418298</t>
  </si>
  <si>
    <t>PJ41</t>
  </si>
  <si>
    <t>COORDENADOR DE CRM</t>
  </si>
  <si>
    <t>421651</t>
  </si>
  <si>
    <t>2335242</t>
  </si>
  <si>
    <t>PJ34</t>
  </si>
  <si>
    <t>233730</t>
  </si>
  <si>
    <t>2210545</t>
  </si>
  <si>
    <t>2057370</t>
  </si>
  <si>
    <t>CASSIO LUIZ RODRIGUES DA SILVA</t>
  </si>
  <si>
    <t>ANALISTA DE SUPORTE SR</t>
  </si>
  <si>
    <t>734823</t>
  </si>
  <si>
    <t>NATALIA DE ABREU PIRES</t>
  </si>
  <si>
    <t>2594080</t>
  </si>
  <si>
    <t>LEANDRO CORREA</t>
  </si>
  <si>
    <t>802145</t>
  </si>
  <si>
    <t>13168</t>
  </si>
  <si>
    <t>GUILHERME GOMES DA SILVA</t>
  </si>
  <si>
    <t>164165</t>
  </si>
  <si>
    <t>RAYLAN NUNES BARBOSA</t>
  </si>
  <si>
    <t>1782906</t>
  </si>
  <si>
    <t>PRODUCT OWNER JR</t>
  </si>
  <si>
    <t>1434893</t>
  </si>
  <si>
    <t>PRODUCT OWNER PLENO I</t>
  </si>
  <si>
    <t>2607115</t>
  </si>
  <si>
    <t>MARIANA RIBEIRO DA SILVA</t>
  </si>
  <si>
    <t>683349</t>
  </si>
  <si>
    <t>IC01</t>
  </si>
  <si>
    <t>FERNANDA DIAS CAMPOS</t>
  </si>
  <si>
    <t>ESPECIALISTA EM FINANÇAS</t>
  </si>
  <si>
    <t>INCUBADORA - GERENCIA</t>
  </si>
  <si>
    <t>2387144</t>
  </si>
  <si>
    <t>IC04</t>
  </si>
  <si>
    <t>EDGAR DE OLIVEIRA</t>
  </si>
  <si>
    <t>GERENTE DE ACELERAÇÃO</t>
  </si>
  <si>
    <t>2387135</t>
  </si>
  <si>
    <t>IC03</t>
  </si>
  <si>
    <t>PRISCILA PEGORARO VILCHES DE AZEVEDO</t>
  </si>
  <si>
    <t>GERENTE DE PROJETOS</t>
  </si>
  <si>
    <t>1939789</t>
  </si>
  <si>
    <t>CAIO TEIXEIRA DE ARAUJO</t>
  </si>
  <si>
    <t>2011603</t>
  </si>
  <si>
    <t>DEGEMAR PEREIRA DA SILVA</t>
  </si>
  <si>
    <t>2577727</t>
  </si>
  <si>
    <t>MARIA CLARA SOUSA NEGRÃO</t>
  </si>
  <si>
    <t>1490559</t>
  </si>
  <si>
    <t>BARBARA CARDOSO DULTRA</t>
  </si>
  <si>
    <t>1194706</t>
  </si>
  <si>
    <t>FELIPE VILELLA DE OLIVEIRA ALVES</t>
  </si>
  <si>
    <t>2057325</t>
  </si>
  <si>
    <t>GIORDANO BRUNO BORGES BRAZ DA SILVA</t>
  </si>
  <si>
    <t>1939803</t>
  </si>
  <si>
    <t>MATHEUS SANTOS PEREIRA</t>
  </si>
  <si>
    <t>1636303</t>
  </si>
  <si>
    <t>ALISSON LUAN DA SILVA</t>
  </si>
  <si>
    <t>2315668</t>
  </si>
  <si>
    <t>ARIEL CRIVELLARO MARTINS</t>
  </si>
  <si>
    <t>2315895</t>
  </si>
  <si>
    <t>ARTHUR FREITAS CESARINO DOS SANTOS</t>
  </si>
  <si>
    <t>2190505</t>
  </si>
  <si>
    <t>EMERSON DANTAS PEREIRA</t>
  </si>
  <si>
    <t>2057308</t>
  </si>
  <si>
    <t>FELIPE PIRES SOARES</t>
  </si>
  <si>
    <t>2190497</t>
  </si>
  <si>
    <t>MOACIR BIELESKI JUNIOR</t>
  </si>
  <si>
    <t>2563298</t>
  </si>
  <si>
    <t>RICARDO FELIPE MENDES FERREIRA</t>
  </si>
  <si>
    <t>1782900</t>
  </si>
  <si>
    <t>VICTOR MAYA NASCIMENTO ALMEIDA</t>
  </si>
  <si>
    <t>2173888</t>
  </si>
  <si>
    <t>EVANDRO CARLOS GONCALVES</t>
  </si>
  <si>
    <t>Momento do Envio</t>
  </si>
  <si>
    <t>Nome do Gestor</t>
  </si>
  <si>
    <t>Funcionário Avaliado</t>
  </si>
  <si>
    <t>Gestor Correto?</t>
  </si>
  <si>
    <t>Novo Gestor</t>
  </si>
  <si>
    <t>Cargo Correto?</t>
  </si>
  <si>
    <t>Novo Cargo</t>
  </si>
  <si>
    <t>Unidade Correta?</t>
  </si>
  <si>
    <t>Nova Unidade</t>
  </si>
  <si>
    <t>Departamento Correto?</t>
  </si>
  <si>
    <t>Novo Depto</t>
  </si>
  <si>
    <t>Par 1</t>
  </si>
  <si>
    <t>Par 2</t>
  </si>
  <si>
    <t>status_resposta</t>
  </si>
  <si>
    <t>Protocolo</t>
  </si>
  <si>
    <t>Observações</t>
  </si>
  <si>
    <t>30/03/2026 17:50</t>
  </si>
  <si>
    <t>Sim</t>
  </si>
  <si>
    <t>PEPO-202603301750</t>
  </si>
  <si>
    <t>31/03/2026 07:54</t>
  </si>
  <si>
    <t>PEPO-202603310754</t>
  </si>
  <si>
    <t>31/03/2026 08:23</t>
  </si>
  <si>
    <t>PEPO-202603310823</t>
  </si>
  <si>
    <t>31/03/2026 11:01</t>
  </si>
  <si>
    <t>PEPO-202603311101</t>
  </si>
  <si>
    <t>31/03/2026 12:14</t>
  </si>
  <si>
    <t>PEPO-202603311214</t>
  </si>
  <si>
    <t>A colaboradora Slayne Araujo está em licença maternidade.
Com as alterações de estrutura em Operações, o Luis Kalil passou a ser o líder direto da colaboradora Carine Santos, porém a avaliação se refere ao período em que ela estava sob minha gestão, por isso preenchi o formulário.</t>
  </si>
  <si>
    <t>31/03/2026 12:26</t>
  </si>
  <si>
    <t>PEPO-202603311226</t>
  </si>
  <si>
    <t>O cargo atual da Giovanna Giacon é Product Ops Jr, e ela exerce a função de PO do App do Vendedor. O gestor do Vitor de Souza é a Giovanna Giacon.</t>
  </si>
  <si>
    <t>Não</t>
  </si>
  <si>
    <t>31/03/2026 12:31</t>
  </si>
  <si>
    <t>PEPO-202603311231</t>
  </si>
  <si>
    <t>31/03/2026 12:50</t>
  </si>
  <si>
    <t>PEPO-202603311250</t>
  </si>
  <si>
    <t xml:space="preserve">Wanderson Lage não irá participar do ciclo, pode retira-lo </t>
  </si>
  <si>
    <t>31/03/2026 14:08</t>
  </si>
  <si>
    <t>PEPO-202603311408</t>
  </si>
  <si>
    <t>31/03/2026 14:40</t>
  </si>
  <si>
    <t>PEPO-202603311440</t>
  </si>
  <si>
    <t>JULIO CESAR BARBOSA BENEDITO COSTA</t>
  </si>
  <si>
    <t>PEPO-202604011025</t>
  </si>
  <si>
    <t>PEPO-202604011112</t>
  </si>
  <si>
    <t>PEPO-202604011532</t>
  </si>
  <si>
    <t>PEPO-202604011551</t>
  </si>
  <si>
    <t>PEPO-202604011557</t>
  </si>
  <si>
    <t>PEPO-202604011714</t>
  </si>
  <si>
    <t>Não consegui incluir os segundos avaliadores para a Caroline (que tem o nível equivalente à coordenação) e para o Luiz (que pode ser um analista da nossa área)</t>
  </si>
  <si>
    <t>PEPO-202604011725</t>
  </si>
  <si>
    <t>----------</t>
  </si>
  <si>
    <t>PEPO-202604011728</t>
  </si>
  <si>
    <t>Todos os POs, P. Ops e UX/UI agora fazem parte do time de Operações, sendo que também pertencemos ao time de Produto. Não encontrei o departamento correspondente para selecionar.
Outro ponto é sobre os pares. Os UX/UI vão avaliar outros UX/UI e os P. Ops farão o mesmo com outros times? O documento ficou um pouco confuso nesse ponto.</t>
  </si>
  <si>
    <t>PEPO-202604020932</t>
  </si>
  <si>
    <t>PEPO-202604020943</t>
  </si>
  <si>
    <t>PEPO-202604021037</t>
  </si>
  <si>
    <t>PEPO-202604021717</t>
  </si>
  <si>
    <t>PEPO-202604071750</t>
  </si>
  <si>
    <t>PEPO-202604081705</t>
  </si>
  <si>
    <t>PEPO-202604081709</t>
  </si>
  <si>
    <t>PEPO-202604081712</t>
  </si>
  <si>
    <t>PEPO-202604081756</t>
  </si>
  <si>
    <t>PEPO-202604081907</t>
  </si>
  <si>
    <t>PEPO-202604090044</t>
  </si>
  <si>
    <t>O Colaborador Pedro Augusto Leão Lima não faz mais parte da equipe</t>
  </si>
  <si>
    <t>PEPO-202604090054</t>
  </si>
  <si>
    <t>PEPO-202604090831</t>
  </si>
  <si>
    <t>PEPO-202604091013</t>
  </si>
  <si>
    <t>PEPO-202604091037</t>
  </si>
  <si>
    <t>PEPO-202604091447</t>
  </si>
  <si>
    <t xml:space="preserve">Segue lista de colaboradores que não estão mais ligados diretamente o projeto CTN Global sob minha gestão. 
Projeto [Mini App] - Gestão de Ronaldo Bruno
 - Victor Maya
 - Matheus Santos
Projeto [CTN Brasil] - Gestão de Matheus Fachin
 - Degemar Pereira
 - Emerson Dantas
 - Felipe Pires
Projeto [Amor Saúde] - Gestão de Eduardo Valentim
 - Ariel Crivellaro
 - Alisson Luan
 - Maria Clara
 - Ricardo Felipe
 - Caio Teixeira
 - Moacir Bieleski
Projeto [Dados]
- Evandro Carlos 
Em aviso prévio
 - Juliana Maria </t>
  </si>
  <si>
    <t>PEPO-202604091722</t>
  </si>
  <si>
    <t>PEPO-202604091739</t>
  </si>
  <si>
    <t>PEPO-202604100915</t>
  </si>
  <si>
    <t>PEPO-202604100945</t>
  </si>
  <si>
    <t xml:space="preserve">Total de Gestores </t>
  </si>
  <si>
    <t>Falta Responder</t>
  </si>
  <si>
    <t>Responderam</t>
  </si>
  <si>
    <t>Total Gestores</t>
  </si>
  <si>
    <t>Total Geral</t>
  </si>
  <si>
    <t xml:space="preserve">RESPOSTA PENDENTE: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</si>
</sst>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9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theme="0"/>
      <name val="Calibri"/>
      <family val="2"/>
    </font>
    <font>
      <sz val="8"/>
      <name val="Calibri"/>
      <family val="2"/>
    </font>
    <font>
      <sz val="11"/>
      <color rgb="FF583C8B"/>
      <name val="Calibri"/>
      <family val="2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12355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7">
    <xf numFmtId="0" fontId="0" fillId="0" borderId="0" xfId="0"/>
    <xf numFmtId="14" fontId="0" fillId="0" borderId="0" xfId="0" applyNumberFormat="1"/>
    <xf numFmtId="1" fontId="0" fillId="0" borderId="0" xfId="0" applyNumberFormat="1"/>
    <xf numFmtId="0" fontId="3" fillId="0" borderId="0" xfId="0" applyFont="1"/>
    <xf numFmtId="0" fontId="4" fillId="0" borderId="1" xfId="0" applyFont="1" applyBorder="1" applyAlignment="1">
      <alignment horizontal="center" vertical="top"/>
    </xf>
    <xf numFmtId="0" fontId="0" fillId="0" borderId="0" xfId="0" pivotButton="1"/>
    <xf numFmtId="0" fontId="5" fillId="2" borderId="0" xfId="0" applyFont="1" applyFill="1"/>
    <xf numFmtId="0" fontId="7" fillId="0" borderId="0" xfId="0" applyFont="1"/>
    <xf numFmtId="0" fontId="0" fillId="3" borderId="0" xfId="0" applyFill="1"/>
    <xf numFmtId="14" fontId="0" fillId="3" borderId="0" xfId="0" applyNumberFormat="1" applyFill="1"/>
    <xf numFmtId="1" fontId="0" fillId="3" borderId="0" xfId="0" applyNumberFormat="1" applyFill="1"/>
    <xf numFmtId="164" fontId="0" fillId="3" borderId="0" xfId="0" applyNumberFormat="1" applyFill="1"/>
    <xf numFmtId="0" fontId="4" fillId="0" borderId="0" xfId="0" applyFont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4" fillId="0" borderId="0" xfId="0" applyFont="1" applyAlignment="1">
      <alignment horizontal="center" vertical="top" wrapText="1"/>
    </xf>
    <xf numFmtId="22" fontId="4" fillId="0" borderId="0" xfId="0" applyNumberFormat="1" applyFont="1" applyAlignment="1">
      <alignment horizontal="center" vertical="top"/>
    </xf>
    <xf numFmtId="0" fontId="4" fillId="0" borderId="2" xfId="0" applyFont="1" applyBorder="1" applyAlignment="1">
      <alignment horizontal="center" vertical="top"/>
    </xf>
  </cellXfs>
  <cellStyles count="3">
    <cellStyle name="Hyperlink" xfId="2" xr:uid="{00000000-0005-0000-0000-000002000000}"/>
    <cellStyle name="Normal" xfId="0" builtinId="0"/>
    <cellStyle name="Normal 2" xfId="1" xr:uid="{00000000-0005-0000-0000-000001000000}"/>
  </cellStyles>
  <dxfs count="19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9" formatCode="dd/mm/yyyy"/>
      <fill>
        <patternFill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</font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mruColors>
      <color rgb="FF583C8B"/>
      <color rgb="FFE12355"/>
      <color rgb="FF009B7D"/>
      <color rgb="FFEF8B02"/>
      <color rgb="FF009E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sz="1100" baseline="0">
                <a:solidFill>
                  <a:schemeClr val="bg1"/>
                </a:solidFill>
              </a:rPr>
              <a:t>ADESÃO-</a:t>
            </a:r>
            <a:r>
              <a:rPr lang="en-US" sz="1100">
                <a:solidFill>
                  <a:schemeClr val="bg1"/>
                </a:solidFill>
              </a:rPr>
              <a:t> PEPO 2026</a:t>
            </a:r>
          </a:p>
        </c:rich>
      </c:tx>
      <c:layout>
        <c:manualLayout>
          <c:xMode val="edge"/>
          <c:yMode val="edge"/>
          <c:x val="0.33820321543884047"/>
          <c:y val="2.7529204173825364E-3"/>
        </c:manualLayout>
      </c:layout>
      <c:overlay val="0"/>
      <c:spPr>
        <a:solidFill>
          <a:srgbClr val="E12355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v>Série2</c:v>
          </c:tx>
          <c:dPt>
            <c:idx val="0"/>
            <c:bubble3D val="0"/>
            <c:spPr>
              <a:solidFill>
                <a:srgbClr val="EF8B0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4332-4813-87F4-1F0A81BD3B6F}"/>
              </c:ext>
            </c:extLst>
          </c:dPt>
          <c:dPt>
            <c:idx val="1"/>
            <c:bubble3D val="0"/>
            <c:spPr>
              <a:solidFill>
                <a:srgbClr val="009B7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332-4813-87F4-1F0A81BD3B6F}"/>
              </c:ext>
            </c:extLst>
          </c:dPt>
          <c:dLbls>
            <c:dLbl>
              <c:idx val="1"/>
              <c:layout>
                <c:manualLayout>
                  <c:x val="8.7077889105823619E-2"/>
                  <c:y val="1.4715164653001124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separator> |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332-4813-87F4-1F0A81BD3B6F}"/>
                </c:ext>
              </c:extLst>
            </c:dLbl>
            <c:spPr>
              <a:noFill/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eparator> |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'Dashboard (2)'!$C$1:$C$2</c:f>
              <c:strCache>
                <c:ptCount val="2"/>
                <c:pt idx="0">
                  <c:v>Falta Responder</c:v>
                </c:pt>
                <c:pt idx="1">
                  <c:v>Responderam</c:v>
                </c:pt>
              </c:strCache>
            </c:strRef>
          </c:cat>
          <c:val>
            <c:numRef>
              <c:f>'Dashboard (2)'!$D$1:$D$2</c:f>
              <c:numCache>
                <c:formatCode>General</c:formatCode>
                <c:ptCount val="2"/>
                <c:pt idx="0">
                  <c:v>22</c:v>
                </c:pt>
                <c:pt idx="1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332-4813-87F4-1F0A81BD3B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005306053511746"/>
          <c:y val="0.82097659022613756"/>
          <c:w val="0.51363091121359949"/>
          <c:h val="0.14532501044783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00" b="0" i="0" u="none" strike="noStrike" kern="1200" baseline="0">
              <a:solidFill>
                <a:srgbClr val="583C8B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</xdr:colOff>
      <xdr:row>0</xdr:row>
      <xdr:rowOff>0</xdr:rowOff>
    </xdr:from>
    <xdr:to>
      <xdr:col>3</xdr:col>
      <xdr:colOff>121920</xdr:colOff>
      <xdr:row>12</xdr:row>
      <xdr:rowOff>66675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1E2FB9D-31E4-4DB9-66FA-84CF32E02A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7620</xdr:colOff>
      <xdr:row>0</xdr:row>
      <xdr:rowOff>22860</xdr:rowOff>
    </xdr:from>
    <xdr:to>
      <xdr:col>3</xdr:col>
      <xdr:colOff>2065020</xdr:colOff>
      <xdr:row>11</xdr:row>
      <xdr:rowOff>68580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AE3A292E-C45C-AD8B-FCCE-0629E7E7F5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68540" y="22860"/>
          <a:ext cx="2057400" cy="20574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22.239837962959" createdVersion="8" refreshedVersion="8" minRefreshableVersion="3" recordCount="196" xr:uid="{19354E3C-2ADC-4D7D-9C41-36AB88EBB2BC}">
  <cacheSource type="worksheet">
    <worksheetSource name="TabelaRespostas"/>
  </cacheSource>
  <cacheFields count="17">
    <cacheField name="Momento do Envio" numFmtId="0">
      <sharedItems containsDate="1" containsMixedTypes="1" minDate="2026-01-04T10:25:00" maxDate="2026-10-04T09:45:00"/>
    </cacheField>
    <cacheField name="Nome do Gestor" numFmtId="0">
      <sharedItems containsBlank="1" count="45">
        <s v="THIAGO DA SILVA CHISNANDES"/>
        <s v="NUBIA AQUINO DA SILVA"/>
        <s v="CAROLINE PAIXÃO VIEIRA DE SENA"/>
        <s v="RENNAN LUCIO DE MOURA"/>
        <s v="ALINE DE GOES CAMARGO"/>
        <s v="VICTOR JOSE ALVES FERNANDES"/>
        <s v="LORRAYNE CRISTINE THEZA DO CARMO"/>
        <s v="AQUILES VILAR MOTA GUIMARAES"/>
        <s v="JEZI FERNANDO OLIVEIRA"/>
        <s v="MARCELA REGGIANI MORAES"/>
        <s v="MARIANA DE ALBUQUERQUE LOPES"/>
        <s v="GIOVANNA DE ARAUJO GIACON"/>
        <s v="CATERINE NUNES BARBOSA"/>
        <s v="LUCAS BICALHO DE FREITAS"/>
        <s v="BRAULIO PIOVEZANA RINCO"/>
        <s v="MAIARA SCHWENGBER CORREA"/>
        <s v="DENIS GABRIEL ABREU DE MELO"/>
        <s v="SAMUEL NUNES RIOS SILVA"/>
        <s v="GUSTAVO ARANDA DAMBROSKI"/>
        <s v="RENNAN VILAR GUIMARAES CASTRO ANTUNES"/>
        <s v="RICARDO ESTEVAO DE ALMEIDA"/>
        <s v="ANDRESSA RODRIGUES MORATO MAIA"/>
        <s v="BRUNNA KAROLINE QUEIROZ RODRIGUES"/>
        <s v="BRUNO NUNES DE SOUZA SANTOS"/>
        <s v="ANEDINA IZABEL DUARTE SOUZA"/>
        <s v="TIAGO DANIEL DE SOUZA"/>
        <s v="ELISANGELA PEDRO RODRIGUES OLIVEIRA"/>
        <s v="BRUNO CASTRO METZKER"/>
        <s v="ELISON GLAUBER DE CASTRO"/>
        <s v="HAYNA CARDOSO PINTO"/>
        <s v="LUCAS BUETTO DE ANGELIS"/>
        <s v="KETTULY FERNANDA ALVES DE AMORIM SANTIAGO"/>
        <s v="MATHEUS ARTHUR FACHIN"/>
        <s v="WELLYNGTON ALVES BORGES"/>
        <s v="RODNEY DUARTE DOS SANTOS"/>
        <s v="ANDRE NADDEO"/>
        <s v="LUIS FERNANDO KALIL ROSENBURG DE CASTRO"/>
        <s v="CAMILA DA SILVA ANDRADE"/>
        <s v="ULISSES LEANDRO CARVALHO FERREIRA"/>
        <m u="1"/>
        <s v="VANUZA DOS SANTOS PRESTES" u="1"/>
        <s v="AMANDA MIRANDA DE CARVALHO" u="1"/>
        <s v="DANILO ALEXANDRE MONTEIRO DE CASTRO SABBAGH" u="1"/>
        <s v="DIEGO PIRES" u="1"/>
        <s v="ELIANE PEREIRA DA SILVA HIDALGO" u="1"/>
      </sharedItems>
    </cacheField>
    <cacheField name="Funcionário Avaliado" numFmtId="0">
      <sharedItems/>
    </cacheField>
    <cacheField name="ID" numFmtId="0">
      <sharedItems containsNonDate="0" containsString="0" containsBlank="1"/>
    </cacheField>
    <cacheField name="Gestor Correto?" numFmtId="0">
      <sharedItems/>
    </cacheField>
    <cacheField name="Novo Gestor" numFmtId="0">
      <sharedItems containsBlank="1"/>
    </cacheField>
    <cacheField name="Cargo Correto?" numFmtId="0">
      <sharedItems/>
    </cacheField>
    <cacheField name="Novo Cargo" numFmtId="0">
      <sharedItems containsBlank="1"/>
    </cacheField>
    <cacheField name="Unidade Correta?" numFmtId="0">
      <sharedItems/>
    </cacheField>
    <cacheField name="Nova Unidade" numFmtId="0">
      <sharedItems containsNonDate="0" containsString="0" containsBlank="1"/>
    </cacheField>
    <cacheField name="Departamento Correto?" numFmtId="0">
      <sharedItems/>
    </cacheField>
    <cacheField name="Novo Depto" numFmtId="0">
      <sharedItems containsNonDate="0" containsString="0" containsBlank="1"/>
    </cacheField>
    <cacheField name="Par 1" numFmtId="0">
      <sharedItems/>
    </cacheField>
    <cacheField name="Par 2" numFmtId="0">
      <sharedItems/>
    </cacheField>
    <cacheField name="status_resposta" numFmtId="0">
      <sharedItems/>
    </cacheField>
    <cacheField name="Protocolo" numFmtId="0">
      <sharedItems/>
    </cacheField>
    <cacheField name="Observaçõ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6">
  <r>
    <s v="30/03/2026 17:50"/>
    <x v="0"/>
    <s v="ERIK HENRIQUE DIAS FERREIRA"/>
    <m/>
    <s v="Sim"/>
    <m/>
    <s v="Sim"/>
    <m/>
    <s v="Sim"/>
    <m/>
    <s v="Sim"/>
    <m/>
    <s v="GABRIEL HENRIQUE GOMES CALAZANS"/>
    <s v="LAIS GANDRA CARVALHO"/>
    <s v="SIM"/>
    <s v="PEPO-202603301750"/>
    <m/>
  </r>
  <r>
    <s v="30/03/2026 17:50"/>
    <x v="0"/>
    <s v="LAIS GANDRA CARVALHO"/>
    <m/>
    <s v="Sim"/>
    <m/>
    <s v="Sim"/>
    <m/>
    <s v="Sim"/>
    <m/>
    <s v="Sim"/>
    <m/>
    <s v="ERIK HENRIQUE DIAS FERREIRA"/>
    <s v="GABRIEL HENRIQUE GOMES CALAZANS"/>
    <s v="SIM"/>
    <s v="PEPO-202603301750"/>
    <m/>
  </r>
  <r>
    <s v="30/03/2026 17:50"/>
    <x v="0"/>
    <s v="GABRIEL HENRIQUE GOMES CALAZANS"/>
    <m/>
    <s v="Sim"/>
    <m/>
    <s v="Sim"/>
    <m/>
    <s v="Sim"/>
    <m/>
    <s v="Sim"/>
    <m/>
    <s v="LAIS GANDRA CARVALHO"/>
    <s v="ERIK HENRIQUE DIAS FERREIRA"/>
    <s v="SIM"/>
    <s v="PEPO-202603301750"/>
    <m/>
  </r>
  <r>
    <s v="31/03/2026 07:54"/>
    <x v="1"/>
    <s v="ANA CAROLINA DE ALMEIDA CAMPOS NAKABA"/>
    <m/>
    <s v="Sim"/>
    <m/>
    <s v="Sim"/>
    <m/>
    <s v="Sim"/>
    <m/>
    <s v="Sim"/>
    <m/>
    <s v="GABRIELA ARAUJO DE SOUZA"/>
    <s v="REBECCA LOHAYNE BARROS VIEIRA ROCHA"/>
    <s v="SIM"/>
    <s v="PEPO-202603310754"/>
    <m/>
  </r>
  <r>
    <s v="31/03/2026 07:54"/>
    <x v="1"/>
    <s v="GABRIELA ARAUJO DE SOUZA"/>
    <m/>
    <s v="Sim"/>
    <m/>
    <s v="Sim"/>
    <m/>
    <s v="Sim"/>
    <m/>
    <s v="Sim"/>
    <m/>
    <s v="ANA CAROLINA DE ALMEIDA CAMPOS NAKABA"/>
    <s v="REBECCA LOHAYNE BARROS VIEIRA ROCHA"/>
    <s v="SIM"/>
    <s v="PEPO-202603310754"/>
    <m/>
  </r>
  <r>
    <s v="31/03/2026 07:54"/>
    <x v="1"/>
    <s v="REBECCA LOHAYNE BARROS VIEIRA ROCHA"/>
    <m/>
    <s v="Sim"/>
    <m/>
    <s v="Sim"/>
    <m/>
    <s v="Sim"/>
    <m/>
    <s v="Sim"/>
    <m/>
    <s v="GABRIELA ARAUJO DE SOUZA"/>
    <s v="ANA CAROLINA DE ALMEIDA CAMPOS NAKABA"/>
    <s v="SIM"/>
    <s v="PEPO-202603310754"/>
    <m/>
  </r>
  <r>
    <s v="31/03/2026 08:23"/>
    <x v="2"/>
    <s v="RODRIGO FERREIRA DA SILVA"/>
    <m/>
    <s v="Sim"/>
    <m/>
    <s v="Sim"/>
    <m/>
    <s v="Sim"/>
    <m/>
    <s v="Sim"/>
    <m/>
    <s v="JENNEFER HONORIO SOUZA"/>
    <s v="VICTORIA CAROLINNE SOLANO NOVAIS"/>
    <s v="SIM"/>
    <s v="PEPO-202603310823"/>
    <m/>
  </r>
  <r>
    <s v="31/03/2026 08:23"/>
    <x v="2"/>
    <s v="VICTORIA CAROLINNE SOLANO NOVAIS"/>
    <m/>
    <s v="Sim"/>
    <m/>
    <s v="Sim"/>
    <m/>
    <s v="Sim"/>
    <m/>
    <s v="Sim"/>
    <m/>
    <s v="STEPHANY MAGALHAES DIAS"/>
    <s v="JENNEFER HONORIO SOUZA"/>
    <s v="SIM"/>
    <s v="PEPO-202603310823"/>
    <m/>
  </r>
  <r>
    <s v="31/03/2026 08:23"/>
    <x v="2"/>
    <s v="JENNEFER HONORIO SOUZA"/>
    <m/>
    <s v="Sim"/>
    <m/>
    <s v="Sim"/>
    <m/>
    <s v="Sim"/>
    <m/>
    <s v="Sim"/>
    <m/>
    <s v="RODRIGO FERREIRA DA SILVA"/>
    <s v="VITORIA BARBOSA SENRA"/>
    <s v="SIM"/>
    <s v="PEPO-202603310823"/>
    <m/>
  </r>
  <r>
    <s v="31/03/2026 08:23"/>
    <x v="2"/>
    <s v="STEPHANY MAGALHAES DIAS"/>
    <m/>
    <s v="Sim"/>
    <m/>
    <s v="Sim"/>
    <m/>
    <s v="Sim"/>
    <m/>
    <s v="Sim"/>
    <m/>
    <s v="VITORIA BARBOSA SENRA"/>
    <s v="VICTORIA CAROLINNE SOLANO NOVAIS"/>
    <s v="SIM"/>
    <s v="PEPO-202603310823"/>
    <m/>
  </r>
  <r>
    <s v="31/03/2026 08:23"/>
    <x v="2"/>
    <s v="VITORIA BARBOSA SENRA"/>
    <m/>
    <s v="Sim"/>
    <m/>
    <s v="Sim"/>
    <m/>
    <s v="Sim"/>
    <m/>
    <s v="Sim"/>
    <m/>
    <s v="STEPHANY MAGALHAES DIAS"/>
    <s v="VICTORIA CAROLINNE SOLANO NOVAIS"/>
    <s v="SIM"/>
    <s v="PEPO-202603310823"/>
    <m/>
  </r>
  <r>
    <s v="31/03/2026 11:01"/>
    <x v="3"/>
    <s v="ARTHUR RODRIGUES MENEZES"/>
    <m/>
    <s v="Sim"/>
    <m/>
    <s v="Sim"/>
    <m/>
    <s v="Sim"/>
    <m/>
    <s v="Sim"/>
    <m/>
    <s v="CAUA MARQUES GOMES DA SILVA FARIA"/>
    <s v="CHRISTIAN NEVES TORRES"/>
    <s v="SIM"/>
    <s v="PEPO-202603311101"/>
    <m/>
  </r>
  <r>
    <s v="31/03/2026 11:01"/>
    <x v="3"/>
    <s v="CAUA MARQUES GOMES DA SILVA FARIA"/>
    <m/>
    <s v="Sim"/>
    <m/>
    <s v="Sim"/>
    <m/>
    <s v="Sim"/>
    <m/>
    <s v="Sim"/>
    <m/>
    <s v="ARTHUR RODRIGUES MENEZES"/>
    <s v="DAMARIS MARTINHO SOARES SOUZA"/>
    <s v="SIM"/>
    <s v="PEPO-202603311101"/>
    <m/>
  </r>
  <r>
    <s v="31/03/2026 11:01"/>
    <x v="3"/>
    <s v="CHRISTIAN NEVES TORRES"/>
    <m/>
    <s v="Sim"/>
    <m/>
    <s v="Sim"/>
    <m/>
    <s v="Sim"/>
    <m/>
    <s v="Sim"/>
    <m/>
    <s v="DAMARIS MARTINHO SOARES SOUZA"/>
    <s v="ERICK GONCALVES OLIVEIRA"/>
    <s v="SIM"/>
    <s v="PEPO-202603311101"/>
    <m/>
  </r>
  <r>
    <s v="31/03/2026 11:01"/>
    <x v="3"/>
    <s v="DAMARIS MARTINHO SOARES SOUZA"/>
    <m/>
    <s v="Sim"/>
    <m/>
    <s v="Sim"/>
    <m/>
    <s v="Sim"/>
    <m/>
    <s v="Sim"/>
    <m/>
    <s v="CAUA MARQUES GOMES DA SILVA FARIA"/>
    <s v="CHRISTIAN NEVES TORRES"/>
    <s v="SIM"/>
    <s v="PEPO-202603311101"/>
    <m/>
  </r>
  <r>
    <s v="31/03/2026 11:01"/>
    <x v="3"/>
    <s v="ERICK GONCALVES OLIVEIRA"/>
    <m/>
    <s v="Sim"/>
    <m/>
    <s v="Sim"/>
    <m/>
    <s v="Sim"/>
    <m/>
    <s v="Sim"/>
    <m/>
    <s v="ARTHUR RODRIGUES MENEZES"/>
    <s v="MATHEUS FERNANDO OLIVEIRA ROCHA"/>
    <s v="SIM"/>
    <s v="PEPO-202603311101"/>
    <m/>
  </r>
  <r>
    <s v="31/03/2026 11:01"/>
    <x v="3"/>
    <s v="MATHEUS FERNANDO OLIVEIRA ROCHA"/>
    <m/>
    <s v="Sim"/>
    <m/>
    <s v="Sim"/>
    <m/>
    <s v="Sim"/>
    <m/>
    <s v="Sim"/>
    <m/>
    <s v="SERGIO TEIXEIRA DA COSTA FILHO"/>
    <s v="ERICK GONCALVES OLIVEIRA"/>
    <s v="SIM"/>
    <s v="PEPO-202603311101"/>
    <m/>
  </r>
  <r>
    <s v="31/03/2026 11:01"/>
    <x v="3"/>
    <s v="SERGIO TEIXEIRA DA COSTA FILHO"/>
    <m/>
    <s v="Sim"/>
    <m/>
    <s v="Sim"/>
    <m/>
    <s v="Sim"/>
    <m/>
    <s v="Sim"/>
    <m/>
    <s v="CHRISTIAN NEVES TORRES"/>
    <s v="DAMARIS MARTINHO SOARES SOUZA"/>
    <s v="SIM"/>
    <s v="PEPO-202603311101"/>
    <m/>
  </r>
  <r>
    <s v="31/03/2026 12:14"/>
    <x v="4"/>
    <s v="ELIANE PEREIRA DA SILVA HIDALGO"/>
    <m/>
    <s v="Sim"/>
    <m/>
    <s v="Sim"/>
    <m/>
    <s v="Sim"/>
    <m/>
    <s v="Sim"/>
    <m/>
    <s v="RENNAN LUCIO DE MOURA"/>
    <s v="CATERINE NUNES BARBOSA"/>
    <s v="SIM"/>
    <s v="PEPO-202603311214"/>
    <s v="A colaboradora Slayne Araujo está em licença maternidade._x000a_Com as alterações de estrutura em Operações, o Luis Kalil passou a ser o líder direto da colaboradora Carine Santos, porém a avaliação se refere ao período em que ela estava sob minha gestão, por isso preenchi o formulário."/>
  </r>
  <r>
    <s v="31/03/2026 12:14"/>
    <x v="4"/>
    <s v="RENNAN LUCIO DE MOURA"/>
    <m/>
    <s v="Sim"/>
    <m/>
    <s v="Sim"/>
    <m/>
    <s v="Sim"/>
    <m/>
    <s v="Sim"/>
    <m/>
    <s v="ELIANE PEREIRA DA SILVA HIDALGO"/>
    <s v="CARINE REIS DOS SANTOS"/>
    <s v="SIM"/>
    <s v="PEPO-202603311214"/>
    <s v="A colaboradora Slayne Araujo está em licença maternidade._x000a_Com as alterações de estrutura em Operações, o Luis Kalil passou a ser o líder direto da colaboradora Carine Santos, porém a avaliação se refere ao período em que ela estava sob minha gestão, por isso preenchi o formulário."/>
  </r>
  <r>
    <s v="31/03/2026 12:14"/>
    <x v="4"/>
    <s v="CARINE REIS DOS SANTOS"/>
    <m/>
    <s v="Sim"/>
    <m/>
    <s v="Sim"/>
    <m/>
    <s v="Sim"/>
    <m/>
    <s v="Sim"/>
    <m/>
    <s v="RENNAN LUCIO DE MOURA"/>
    <s v="ELIANE PEREIRA DA SILVA HIDALGO"/>
    <s v="SIM"/>
    <s v="PEPO-202603311214"/>
    <s v="A colaboradora Slayne Araujo está em licença maternidade._x000a_Com as alterações de estrutura em Operações, o Luis Kalil passou a ser o líder direto da colaboradora Carine Santos, porém a avaliação se refere ao período em que ela estava sob minha gestão, por isso preenchi o formulário."/>
  </r>
  <r>
    <s v="31/03/2026 12:14"/>
    <x v="4"/>
    <s v="SLAYNE FERNANDA NERES GOMES BRUM ARAUJO"/>
    <m/>
    <s v="Sim"/>
    <m/>
    <s v="Sim"/>
    <m/>
    <s v="Sim"/>
    <m/>
    <s v="Sim"/>
    <m/>
    <s v="RENNAN LUCIO DE MOURA"/>
    <s v="CARINE REIS DOS SANTOS"/>
    <s v="SIM"/>
    <s v="PEPO-202603311214"/>
    <s v="A colaboradora Slayne Araujo está em licença maternidade._x000a_Com as alterações de estrutura em Operações, o Luis Kalil passou a ser o líder direto da colaboradora Carine Santos, porém a avaliação se refere ao período em que ela estava sob minha gestão, por isso preenchi o formulário."/>
  </r>
  <r>
    <s v="31/03/2026 12:26"/>
    <x v="5"/>
    <s v="PEDRO HENRIQUE COSTA OLIVEIRA"/>
    <m/>
    <s v="Sim"/>
    <m/>
    <s v="Sim"/>
    <m/>
    <s v="Sim"/>
    <m/>
    <s v="Sim"/>
    <m/>
    <s v="RAYLAN NUNES BARBOSA"/>
    <s v="VICTOR ARAUJO PORTO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CASSIO LUIZ RODRIGUES DA SILVA"/>
    <m/>
    <s v="Sim"/>
    <m/>
    <s v="Sim"/>
    <m/>
    <s v="Sim"/>
    <m/>
    <s v="Sim"/>
    <m/>
    <s v="SERGIO TEIXEIRA DA COSTA FILHO"/>
    <s v="DAMARIS MARTINHO SOARES SOUZA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NATALIA DE ABREU PIRES"/>
    <m/>
    <s v="Sim"/>
    <m/>
    <s v="Sim"/>
    <m/>
    <s v="Sim"/>
    <m/>
    <s v="Sim"/>
    <m/>
    <s v="GUILHERME GOMES DA SILVA"/>
    <s v="RAYLAN NUNES BARBOSA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LEANDRO CORREA"/>
    <m/>
    <s v="Sim"/>
    <m/>
    <s v="Sim"/>
    <m/>
    <s v="Sim"/>
    <m/>
    <s v="Sim"/>
    <m/>
    <s v="RAYLAN NUNES BARBOSA"/>
    <s v="GIOVANNA DE ARAUJO GIACON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GIOVANNA DE ARAUJO GIACON"/>
    <m/>
    <s v="Sim"/>
    <m/>
    <s v="Não"/>
    <s v="PRODUCT OPS JR"/>
    <s v="Sim"/>
    <m/>
    <s v="Sim"/>
    <m/>
    <s v="RAYLAN NUNES BARBOSA"/>
    <s v="CAROLINE ANDRADE SANTOS BACELAR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GUILHERME GOMES DA SILVA"/>
    <m/>
    <s v="Sim"/>
    <m/>
    <s v="Sim"/>
    <m/>
    <s v="Sim"/>
    <m/>
    <s v="Sim"/>
    <m/>
    <s v="NATALIA DE ABREU PIRES"/>
    <s v="VICTOR ARAUJO PORTO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RAYLAN NUNES BARBOSA"/>
    <m/>
    <s v="Sim"/>
    <m/>
    <s v="Sim"/>
    <m/>
    <s v="Sim"/>
    <m/>
    <s v="Sim"/>
    <m/>
    <s v="VICTOR ARAUJO PORTO"/>
    <s v="NATALIA DE ABREU PIRES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GUSTAVO ARANDA DAMBROSKI"/>
    <m/>
    <s v="Sim"/>
    <m/>
    <s v="Sim"/>
    <m/>
    <s v="Sim"/>
    <m/>
    <s v="Sim"/>
    <m/>
    <s v="SAMUEL NUNES RIOS SILVA"/>
    <s v="GIOVANNA DE ARAUJO GIACON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SAMUEL NUNES RIOS SILVA"/>
    <m/>
    <s v="Sim"/>
    <m/>
    <s v="Sim"/>
    <m/>
    <s v="Sim"/>
    <m/>
    <s v="Sim"/>
    <m/>
    <s v="GUSTAVO ARANDA DAMBROSKI"/>
    <s v="GIOVANNA DE ARAUJO GIACON"/>
    <s v="SIM"/>
    <s v="PEPO-202603311226"/>
    <s v="O cargo atual da Giovanna Giacon é Product Ops Jr, e ela exerce a função de PO do App do Vendedor. O gestor do Vitor de Souza é a Giovanna Giacon."/>
  </r>
  <r>
    <s v="31/03/2026 12:26"/>
    <x v="5"/>
    <s v="MARIANA RIBEIRO DA SILVA"/>
    <m/>
    <s v="Sim"/>
    <m/>
    <s v="Sim"/>
    <m/>
    <s v="Sim"/>
    <m/>
    <s v="Sim"/>
    <m/>
    <s v="NATALIA DE ABREU PIRES"/>
    <s v="GUILHERME GOMES DA SILVA"/>
    <s v="SIM"/>
    <s v="PEPO-202603311226"/>
    <s v="O cargo atual da Giovanna Giacon é Product Ops Jr, e ela exerce a função de PO do App do Vendedor. O gestor do Vitor de Souza é a Giovanna Giacon."/>
  </r>
  <r>
    <s v="31/03/2026 12:31"/>
    <x v="6"/>
    <s v="BRUNNA KAROLINE QUEIROZ RODRIGUES"/>
    <m/>
    <s v="Sim"/>
    <m/>
    <s v="Sim"/>
    <m/>
    <s v="Sim"/>
    <m/>
    <s v="Não"/>
    <m/>
    <s v="THIAGO DA SILVA CHISNANDES"/>
    <s v="CAROLINE PAIXÃO VIEIRA DE SENA"/>
    <s v="SIM"/>
    <s v="PEPO-202603311231"/>
    <m/>
  </r>
  <r>
    <s v="31/03/2026 12:31"/>
    <x v="6"/>
    <s v="THIAGO DA SILVA CHISNANDES"/>
    <m/>
    <s v="Sim"/>
    <m/>
    <s v="Sim"/>
    <m/>
    <s v="Sim"/>
    <m/>
    <s v="Sim"/>
    <m/>
    <s v="BRUNNA KAROLINE QUEIROZ RODRIGUES"/>
    <s v="CAROLINE PAIXÃO VIEIRA DE SENA"/>
    <s v="SIM"/>
    <s v="PEPO-202603311231"/>
    <m/>
  </r>
  <r>
    <s v="31/03/2026 12:31"/>
    <x v="6"/>
    <s v="CAROLINE PAIXÃO VIEIRA DE SENA"/>
    <m/>
    <s v="Sim"/>
    <m/>
    <s v="Sim"/>
    <m/>
    <s v="Sim"/>
    <m/>
    <s v="Não"/>
    <m/>
    <s v="BRUNNA KAROLINE QUEIROZ RODRIGUES"/>
    <s v="THIAGO DA SILVA CHISNANDES"/>
    <s v="SIM"/>
    <s v="PEPO-202603311231"/>
    <m/>
  </r>
  <r>
    <s v="31/03/2026 12:50"/>
    <x v="7"/>
    <s v="RICARDO ESTEVAO DE ALMEIDA"/>
    <m/>
    <s v="Sim"/>
    <m/>
    <s v="Sim"/>
    <m/>
    <s v="Sim"/>
    <m/>
    <s v="Sim"/>
    <m/>
    <s v="RENNAN VILAR GUIMARAES CASTRO ANTUNES"/>
    <s v="LEON DOS REIS CALIXTO"/>
    <s v="SIM"/>
    <s v="PEPO-202603311250"/>
    <s v="Wanderson Lage não irá participar do ciclo, pode retira-lo "/>
  </r>
  <r>
    <s v="31/03/2026 12:50"/>
    <x v="7"/>
    <s v="DANILO ALEXANDRE MONTEIRO DE CASTRO SABBAGH"/>
    <m/>
    <s v="Não"/>
    <s v="TALES VILAR MOTA GUIMARAES"/>
    <s v="Sim"/>
    <m/>
    <s v="Sim"/>
    <m/>
    <s v="Sim"/>
    <m/>
    <s v="ULISSES LEANDRO CARVALHO FERREIRA"/>
    <s v="LEON DOS REIS CALIXTO"/>
    <s v="SIM"/>
    <s v="PEPO-202603311250"/>
    <s v="Wanderson Lage não irá participar do ciclo, pode retira-lo "/>
  </r>
  <r>
    <s v="31/03/2026 12:50"/>
    <x v="7"/>
    <s v="RENNAN VILAR GUIMARAES CASTRO ANTUNES"/>
    <m/>
    <s v="Sim"/>
    <m/>
    <s v="Sim"/>
    <m/>
    <s v="Sim"/>
    <m/>
    <s v="Sim"/>
    <m/>
    <s v="RICARDO ESTEVAO DE ALMEIDA"/>
    <s v="DANILO ALEXANDRE MONTEIRO DE CASTRO SABBAGH"/>
    <s v="SIM"/>
    <s v="PEPO-202603311250"/>
    <s v="Wanderson Lage não irá participar do ciclo, pode retira-lo "/>
  </r>
  <r>
    <s v="31/03/2026 12:50"/>
    <x v="7"/>
    <s v="WANDERSON LAGE"/>
    <m/>
    <s v="Sim"/>
    <m/>
    <s v="Sim"/>
    <m/>
    <s v="Sim"/>
    <m/>
    <s v="Sim"/>
    <m/>
    <s v="RENNAN VILAR GUIMARAES CASTRO ANTUNES"/>
    <s v="RICARDO ESTEVAO DE ALMEIDA"/>
    <s v="SIM"/>
    <s v="PEPO-202603311250"/>
    <s v="Wanderson Lage não irá participar do ciclo, pode retira-lo "/>
  </r>
  <r>
    <s v="31/03/2026 14:08"/>
    <x v="8"/>
    <s v="KETTULY FERNANDA ALVES DE AMORIM SANTIAGO"/>
    <m/>
    <s v="Sim"/>
    <m/>
    <s v="Sim"/>
    <m/>
    <s v="Sim"/>
    <m/>
    <s v="Sim"/>
    <m/>
    <s v="CAROLINE PAIXÃO VIEIRA DE SENA"/>
    <s v="THIAGO DA SILVA CHISNANDES"/>
    <s v="SIM"/>
    <s v="PEPO-202603311408"/>
    <m/>
  </r>
  <r>
    <s v="31/03/2026 14:40"/>
    <x v="9"/>
    <s v="GABRIELA ARBELLI COLAQUISES ZAGO"/>
    <m/>
    <s v="Sim"/>
    <m/>
    <s v="Sim"/>
    <m/>
    <s v="Sim"/>
    <m/>
    <s v="Sim"/>
    <m/>
    <s v="ANA BEATRIZ DA SILVA COSTA"/>
    <s v="MARIA LUIZA FERREIRA PINTO"/>
    <s v="SIM"/>
    <s v="PEPO-202603311440"/>
    <m/>
  </r>
  <r>
    <s v="31/03/2026 14:40"/>
    <x v="9"/>
    <s v="ANA BEATRIZ DA SILVA COSTA"/>
    <m/>
    <s v="Sim"/>
    <m/>
    <s v="Sim"/>
    <m/>
    <s v="Sim"/>
    <m/>
    <s v="Sim"/>
    <m/>
    <s v="GABRIELA ARBELLI COLAQUISES ZAGO"/>
    <s v="KATHARYNE CRISTINA LOPES DA SILVA"/>
    <s v="SIM"/>
    <s v="PEPO-202603311440"/>
    <m/>
  </r>
  <r>
    <s v="31/03/2026 14:40"/>
    <x v="9"/>
    <s v="MARIA LUIZA FERREIRA PINTO"/>
    <m/>
    <s v="Sim"/>
    <m/>
    <s v="Sim"/>
    <m/>
    <s v="Sim"/>
    <m/>
    <s v="Sim"/>
    <m/>
    <s v="ANA BEATRIZ DA SILVA COSTA"/>
    <s v="KATHARYNE CRISTINA LOPES DA SILVA"/>
    <s v="SIM"/>
    <s v="PEPO-202603311440"/>
    <m/>
  </r>
  <r>
    <s v="31/03/2026 14:40"/>
    <x v="9"/>
    <s v="KATHARYNE CRISTINA LOPES DA SILVA"/>
    <m/>
    <s v="Sim"/>
    <m/>
    <s v="Sim"/>
    <m/>
    <s v="Sim"/>
    <m/>
    <s v="Sim"/>
    <m/>
    <s v="GABRIELA ARBELLI COLAQUISES ZAGO"/>
    <s v="MARIA LUIZA FERREIRA PINTO"/>
    <s v="SIM"/>
    <s v="PEPO-202603311440"/>
    <m/>
  </r>
  <r>
    <d v="2026-01-04T10:25:00"/>
    <x v="10"/>
    <s v="JULIO CESAR BARBOSA BENEDITO COSTA"/>
    <m/>
    <s v="Sim"/>
    <m/>
    <s v="Sim"/>
    <m/>
    <s v="Sim"/>
    <m/>
    <s v="Sim"/>
    <m/>
    <s v="MARIA LUIZA SOUZA FILGUEIRAS"/>
    <s v="RAISSA MENDES LOPES"/>
    <s v="SIM"/>
    <s v="PEPO-202604011025"/>
    <m/>
  </r>
  <r>
    <d v="2026-01-04T11:12:00"/>
    <x v="11"/>
    <s v="VITOR ZARETZKI DE SOUZA"/>
    <m/>
    <s v="Sim"/>
    <m/>
    <s v="Sim"/>
    <m/>
    <s v="Sim"/>
    <m/>
    <s v="Sim"/>
    <m/>
    <s v="TIAGO PEREIRA DO NASCIMENTO"/>
    <s v="VINICIUS NASCIMENTO"/>
    <s v="SIM"/>
    <s v="PEPO-202604011112"/>
    <m/>
  </r>
  <r>
    <d v="2026-01-04T15:32:00"/>
    <x v="12"/>
    <s v="CAIO DIAS EVANGELISTA"/>
    <m/>
    <s v="Sim"/>
    <m/>
    <s v="Sim"/>
    <m/>
    <s v="Sim"/>
    <m/>
    <s v="Não"/>
    <m/>
    <s v="MATHEUS PLAVIAK"/>
    <s v="MATEUS VITOR VIEIRA"/>
    <s v="SIM"/>
    <s v="PEPO-202604011532"/>
    <m/>
  </r>
  <r>
    <d v="2026-01-04T15:32:00"/>
    <x v="12"/>
    <s v="MATEUS VITOR VIEIRA"/>
    <m/>
    <s v="Sim"/>
    <m/>
    <s v="Sim"/>
    <m/>
    <s v="Sim"/>
    <m/>
    <s v="Não"/>
    <m/>
    <s v="JOAO VICTOR DE OLIVEIRA"/>
    <s v="CAIO DIAS EVANGELISTA"/>
    <s v="SIM"/>
    <s v="PEPO-202604011532"/>
    <m/>
  </r>
  <r>
    <d v="2026-01-04T15:32:00"/>
    <x v="12"/>
    <s v="MATHEUS PLAVIAK"/>
    <m/>
    <s v="Sim"/>
    <m/>
    <s v="Sim"/>
    <m/>
    <s v="Sim"/>
    <m/>
    <s v="Não"/>
    <m/>
    <s v="MATEUS VITOR VIEIRA"/>
    <s v="JOAO VICTOR DE OLIVEIRA"/>
    <s v="SIM"/>
    <s v="PEPO-202604011532"/>
    <m/>
  </r>
  <r>
    <d v="2026-01-04T15:32:00"/>
    <x v="12"/>
    <s v="JOAO VICTOR DE OLIVEIRA"/>
    <m/>
    <s v="Sim"/>
    <m/>
    <s v="Sim"/>
    <m/>
    <s v="Sim"/>
    <m/>
    <s v="Não"/>
    <m/>
    <s v="CAIO DIAS EVANGELISTA"/>
    <s v="MATHEUS PLAVIAK"/>
    <s v="SIM"/>
    <s v="PEPO-202604011532"/>
    <m/>
  </r>
  <r>
    <d v="2026-01-04T15:51:00"/>
    <x v="13"/>
    <s v="ERIC MARTINS DE OLIVEIRA"/>
    <m/>
    <s v="Sim"/>
    <m/>
    <s v="Sim"/>
    <m/>
    <s v="Sim"/>
    <m/>
    <s v="Sim"/>
    <m/>
    <s v="GABRIEL SOUZA ALVES"/>
    <s v="KARINE CRISTINE OLIVEIRA"/>
    <s v="SIM"/>
    <s v="PEPO-202604011551"/>
    <m/>
  </r>
  <r>
    <d v="2026-01-04T15:51:00"/>
    <x v="13"/>
    <s v="ERIC MARTINS DE OLIVEIRA"/>
    <m/>
    <s v="Sim"/>
    <m/>
    <s v="Sim"/>
    <m/>
    <s v="Sim"/>
    <m/>
    <s v="Sim"/>
    <m/>
    <s v="GABRIEL SOUZA ALVES"/>
    <s v="KARINE CRISTINE OLIVEIRA"/>
    <s v="SIM"/>
    <s v="PEPO-202604011551"/>
    <m/>
  </r>
  <r>
    <d v="2026-01-04T15:51:00"/>
    <x v="13"/>
    <s v="KARINE CRISTINE OLIVEIRA"/>
    <m/>
    <s v="Sim"/>
    <m/>
    <s v="Sim"/>
    <m/>
    <s v="Sim"/>
    <m/>
    <s v="Sim"/>
    <m/>
    <s v="GABRIEL SOUZA ALVES"/>
    <s v="WILLIAN SABINO DE SOUZA"/>
    <s v="SIM"/>
    <s v="PEPO-202604011551"/>
    <m/>
  </r>
  <r>
    <d v="2026-01-04T15:51:00"/>
    <x v="13"/>
    <s v="KARINE CRISTINE OLIVEIRA"/>
    <m/>
    <s v="Sim"/>
    <m/>
    <s v="Sim"/>
    <m/>
    <s v="Sim"/>
    <m/>
    <s v="Sim"/>
    <m/>
    <s v="GABRIEL SOUZA ALVES"/>
    <s v="WILLIAN SABINO DE SOUZA"/>
    <s v="SIM"/>
    <s v="PEPO-202604011551"/>
    <m/>
  </r>
  <r>
    <d v="2026-01-04T15:51:00"/>
    <x v="13"/>
    <s v="WILLIAN SABINO DE SOUZA"/>
    <m/>
    <s v="Sim"/>
    <m/>
    <s v="Sim"/>
    <m/>
    <s v="Sim"/>
    <m/>
    <s v="Sim"/>
    <m/>
    <s v="ERIC MARTINS DE OLIVEIRA"/>
    <s v="KARINE CRISTINE OLIVEIRA"/>
    <s v="SIM"/>
    <s v="PEPO-202604011551"/>
    <m/>
  </r>
  <r>
    <d v="2026-01-04T15:51:00"/>
    <x v="13"/>
    <s v="WILLIAN SABINO DE SOUZA"/>
    <m/>
    <s v="Sim"/>
    <m/>
    <s v="Sim"/>
    <m/>
    <s v="Sim"/>
    <m/>
    <s v="Sim"/>
    <m/>
    <s v="ERIC MARTINS DE OLIVEIRA"/>
    <s v="KARINE CRISTINE OLIVEIRA"/>
    <s v="SIM"/>
    <s v="PEPO-202604011551"/>
    <m/>
  </r>
  <r>
    <d v="2026-01-04T15:51:00"/>
    <x v="13"/>
    <s v="GABRIEL SOUZA ALVES"/>
    <m/>
    <s v="Sim"/>
    <m/>
    <s v="Sim"/>
    <m/>
    <s v="Sim"/>
    <m/>
    <s v="Sim"/>
    <m/>
    <s v="WILLIAN SABINO DE SOUZA"/>
    <s v="KARINE CRISTINE OLIVEIRA"/>
    <s v="SIM"/>
    <s v="PEPO-202604011551"/>
    <m/>
  </r>
  <r>
    <d v="2026-01-04T15:51:00"/>
    <x v="13"/>
    <s v="GABRIEL SOUZA ALVES"/>
    <m/>
    <s v="Sim"/>
    <m/>
    <s v="Sim"/>
    <m/>
    <s v="Sim"/>
    <m/>
    <s v="Sim"/>
    <m/>
    <s v="WILLIAN SABINO DE SOUZA"/>
    <s v="KARINE CRISTINE OLIVEIRA"/>
    <s v="SIM"/>
    <s v="PEPO-202604011551"/>
    <m/>
  </r>
  <r>
    <d v="2026-01-04T15:51:00"/>
    <x v="13"/>
    <s v="CATERINE NUNES BARBOSA"/>
    <m/>
    <s v="Sim"/>
    <m/>
    <s v="Sim"/>
    <m/>
    <s v="Sim"/>
    <m/>
    <s v="Sim"/>
    <m/>
    <s v="RENNAN LUCIO DE MOURA"/>
    <s v="ELIANE PEREIRA DA SILVA HIDALGO"/>
    <s v="SIM"/>
    <s v="PEPO-202604011551"/>
    <m/>
  </r>
  <r>
    <d v="2026-01-04T15:51:00"/>
    <x v="13"/>
    <s v="CATERINE NUNES BARBOSA"/>
    <m/>
    <s v="Sim"/>
    <m/>
    <s v="Sim"/>
    <m/>
    <s v="Sim"/>
    <m/>
    <s v="Sim"/>
    <m/>
    <s v="RENNAN LUCIO DE MOURA"/>
    <s v="ELIANE PEREIRA DA SILVA HIDALGO"/>
    <s v="SIM"/>
    <s v="PEPO-202604011551"/>
    <m/>
  </r>
  <r>
    <d v="2026-01-04T15:51:00"/>
    <x v="13"/>
    <s v="RENATO TSUYOSHI MIURA MONFORTE"/>
    <m/>
    <s v="Sim"/>
    <m/>
    <s v="Sim"/>
    <m/>
    <s v="Sim"/>
    <m/>
    <s v="Sim"/>
    <m/>
    <s v="VINICIUS ANDRADE LOPES"/>
    <s v="MATHEUS BICALHO DE FREITAS"/>
    <s v="SIM"/>
    <s v="PEPO-202604011551"/>
    <m/>
  </r>
  <r>
    <d v="2026-01-04T15:51:00"/>
    <x v="13"/>
    <s v="RENATO TSUYOSHI MIURA MONFORTE"/>
    <m/>
    <s v="Sim"/>
    <m/>
    <s v="Sim"/>
    <m/>
    <s v="Sim"/>
    <m/>
    <s v="Sim"/>
    <m/>
    <s v="VINICIUS ANDRADE LOPES"/>
    <s v="MATHEUS BICALHO DE FREITAS"/>
    <s v="SIM"/>
    <s v="PEPO-202604011551"/>
    <m/>
  </r>
  <r>
    <d v="2026-01-04T15:51:00"/>
    <x v="13"/>
    <s v="MATHEUS BICALHO DE FREITAS"/>
    <m/>
    <s v="Sim"/>
    <m/>
    <s v="Sim"/>
    <m/>
    <s v="Sim"/>
    <m/>
    <s v="Sim"/>
    <m/>
    <s v="VINICIUS ANDRADE LOPES"/>
    <s v="RENATO TSUYOSHI MIURA MONFORTE"/>
    <s v="SIM"/>
    <s v="PEPO-202604011551"/>
    <m/>
  </r>
  <r>
    <d v="2026-01-04T15:51:00"/>
    <x v="13"/>
    <s v="MATHEUS BICALHO DE FREITAS"/>
    <m/>
    <s v="Sim"/>
    <m/>
    <s v="Sim"/>
    <m/>
    <s v="Sim"/>
    <m/>
    <s v="Sim"/>
    <m/>
    <s v="VINICIUS ANDRADE LOPES"/>
    <s v="RENATO TSUYOSHI MIURA MONFORTE"/>
    <s v="SIM"/>
    <s v="PEPO-202604011551"/>
    <m/>
  </r>
  <r>
    <d v="2026-01-04T15:51:00"/>
    <x v="13"/>
    <s v="VINICIUS ANDRADE LOPES"/>
    <m/>
    <s v="Sim"/>
    <m/>
    <s v="Sim"/>
    <m/>
    <s v="Sim"/>
    <m/>
    <s v="Sim"/>
    <m/>
    <s v="MATHEUS BICALHO DE FREITAS"/>
    <s v="RENATO TSUYOSHI MIURA MONFORTE"/>
    <s v="SIM"/>
    <s v="PEPO-202604011551"/>
    <m/>
  </r>
  <r>
    <d v="2026-01-04T15:51:00"/>
    <x v="13"/>
    <s v="VINICIUS ANDRADE LOPES"/>
    <m/>
    <s v="Sim"/>
    <m/>
    <s v="Sim"/>
    <m/>
    <s v="Sim"/>
    <m/>
    <s v="Sim"/>
    <m/>
    <s v="MATHEUS BICALHO DE FREITAS"/>
    <s v="RENATO TSUYOSHI MIURA MONFORTE"/>
    <s v="SIM"/>
    <s v="PEPO-202604011551"/>
    <m/>
  </r>
  <r>
    <d v="2026-01-04T15:51:00"/>
    <x v="13"/>
    <s v="LARISSA RODRIGUES DIAS"/>
    <m/>
    <s v="Sim"/>
    <m/>
    <s v="Sim"/>
    <m/>
    <s v="Sim"/>
    <m/>
    <s v="Sim"/>
    <m/>
    <s v="VICTOR JOSE ALVES FERNANDES"/>
    <s v="CATERINE NUNES BARBOSA"/>
    <s v="SIM"/>
    <s v="PEPO-202604011551"/>
    <m/>
  </r>
  <r>
    <d v="2026-01-04T15:51:00"/>
    <x v="13"/>
    <s v="LARISSA RODRIGUES DIAS"/>
    <m/>
    <s v="Sim"/>
    <m/>
    <s v="Sim"/>
    <m/>
    <s v="Sim"/>
    <m/>
    <s v="Sim"/>
    <m/>
    <s v="VICTOR JOSE ALVES FERNANDES"/>
    <s v="CATERINE NUNES BARBOSA"/>
    <s v="SIM"/>
    <s v="PEPO-202604011551"/>
    <m/>
  </r>
  <r>
    <d v="2026-01-04T15:57:00"/>
    <x v="14"/>
    <s v="MUNIQUE LACERDA SOUZA MARTINS"/>
    <m/>
    <s v="Sim"/>
    <m/>
    <s v="Sim"/>
    <m/>
    <s v="Sim"/>
    <m/>
    <s v="Sim"/>
    <m/>
    <s v="MARIA LUIZA SOUZA FILGUEIRAS"/>
    <s v="PEDRO HENRIQUE TERRA VIEIRA"/>
    <s v="SIM"/>
    <s v="PEPO-202604011557"/>
    <m/>
  </r>
  <r>
    <d v="2026-01-04T15:57:00"/>
    <x v="14"/>
    <s v="PEDRO HENRIQUE TERRA VIEIRA"/>
    <m/>
    <s v="Sim"/>
    <m/>
    <s v="Sim"/>
    <m/>
    <s v="Sim"/>
    <m/>
    <s v="Sim"/>
    <m/>
    <s v="DENIS JANES MARTUSCELLI"/>
    <s v="NATHANY GONCALVES ALVES"/>
    <s v="SIM"/>
    <s v="PEPO-202604011557"/>
    <m/>
  </r>
  <r>
    <d v="2026-01-04T15:57:00"/>
    <x v="14"/>
    <s v="NATHANY GONCALVES ALVES"/>
    <m/>
    <s v="Sim"/>
    <m/>
    <s v="Sim"/>
    <m/>
    <s v="Sim"/>
    <m/>
    <s v="Sim"/>
    <m/>
    <s v="PEDRO HENRIQUE TERRA VIEIRA"/>
    <s v="MUNIQUE LACERDA SOUZA MARTINS"/>
    <s v="SIM"/>
    <s v="PEPO-202604011557"/>
    <m/>
  </r>
  <r>
    <d v="2026-01-04T15:57:00"/>
    <x v="14"/>
    <s v="DENIS JANES MARTUSCELLI"/>
    <m/>
    <s v="Sim"/>
    <m/>
    <s v="Sim"/>
    <m/>
    <s v="Sim"/>
    <m/>
    <s v="Sim"/>
    <m/>
    <s v="PEDRO HENRIQUE TERRA VIEIRA"/>
    <s v="MARIA LUIZA SOUZA FILGUEIRAS"/>
    <s v="SIM"/>
    <s v="PEPO-202604011557"/>
    <m/>
  </r>
  <r>
    <d v="2026-01-04T15:57:00"/>
    <x v="14"/>
    <s v="MARIA LUIZA SOUZA FILGUEIRAS"/>
    <m/>
    <s v="Sim"/>
    <m/>
    <s v="Sim"/>
    <m/>
    <s v="Sim"/>
    <m/>
    <s v="Sim"/>
    <m/>
    <s v="MUNIQUE LACERDA SOUZA MARTINS"/>
    <s v="DENIS JANES MARTUSCELLI"/>
    <s v="SIM"/>
    <s v="PEPO-202604011557"/>
    <m/>
  </r>
  <r>
    <d v="2026-01-04T15:57:00"/>
    <x v="14"/>
    <s v="MUNIQUE LACERDA SOUZA MARTINS"/>
    <m/>
    <s v="Sim"/>
    <m/>
    <s v="Sim"/>
    <m/>
    <s v="Sim"/>
    <m/>
    <s v="Sim"/>
    <m/>
    <s v="MARIA LUIZA SOUZA FILGUEIRAS"/>
    <s v="PEDRO HENRIQUE TERRA VIEIRA"/>
    <s v="SIM"/>
    <s v="PEPO-202604011557"/>
    <m/>
  </r>
  <r>
    <d v="2026-01-04T15:57:00"/>
    <x v="14"/>
    <s v="PEDRO HENRIQUE TERRA VIEIRA"/>
    <m/>
    <s v="Sim"/>
    <m/>
    <s v="Sim"/>
    <m/>
    <s v="Sim"/>
    <m/>
    <s v="Sim"/>
    <m/>
    <s v="DENIS JANES MARTUSCELLI"/>
    <s v="NATHANY GONCALVES ALVES"/>
    <s v="SIM"/>
    <s v="PEPO-202604011557"/>
    <m/>
  </r>
  <r>
    <d v="2026-01-04T15:57:00"/>
    <x v="14"/>
    <s v="NATHANY GONCALVES ALVES"/>
    <m/>
    <s v="Sim"/>
    <m/>
    <s v="Sim"/>
    <m/>
    <s v="Sim"/>
    <m/>
    <s v="Sim"/>
    <m/>
    <s v="PEDRO HENRIQUE TERRA VIEIRA"/>
    <s v="MUNIQUE LACERDA SOUZA MARTINS"/>
    <s v="SIM"/>
    <s v="PEPO-202604011557"/>
    <m/>
  </r>
  <r>
    <d v="2026-01-04T15:57:00"/>
    <x v="14"/>
    <s v="DENIS JANES MARTUSCELLI"/>
    <m/>
    <s v="Sim"/>
    <m/>
    <s v="Sim"/>
    <m/>
    <s v="Sim"/>
    <m/>
    <s v="Sim"/>
    <m/>
    <s v="PEDRO HENRIQUE TERRA VIEIRA"/>
    <s v="MARIA LUIZA SOUZA FILGUEIRAS"/>
    <s v="SIM"/>
    <s v="PEPO-202604011557"/>
    <m/>
  </r>
  <r>
    <d v="2026-01-04T15:57:00"/>
    <x v="14"/>
    <s v="MARIA LUIZA SOUZA FILGUEIRAS"/>
    <m/>
    <s v="Sim"/>
    <m/>
    <s v="Sim"/>
    <m/>
    <s v="Sim"/>
    <m/>
    <s v="Sim"/>
    <m/>
    <s v="MUNIQUE LACERDA SOUZA MARTINS"/>
    <s v="DENIS JANES MARTUSCELLI"/>
    <s v="SIM"/>
    <s v="PEPO-202604011557"/>
    <m/>
  </r>
  <r>
    <d v="2026-01-04T17:14:00"/>
    <x v="15"/>
    <s v="CAMILA DA SILVA ANDRADE"/>
    <m/>
    <s v="Sim"/>
    <m/>
    <s v="Sim"/>
    <m/>
    <s v="Sim"/>
    <m/>
    <s v="Sim"/>
    <m/>
    <s v="NUBIA AQUINO DA SILVA"/>
    <s v="ELISANGELA PEDRO RODRIGUES OLIVEIRA"/>
    <s v="SIM"/>
    <s v="PEPO-202604011714"/>
    <s v="Não consegui incluir os segundos avaliadores para a Caroline (que tem o nível equivalente à coordenação) e para o Luiz (que pode ser um analista da nossa área)"/>
  </r>
  <r>
    <d v="2026-01-04T17:14:00"/>
    <x v="15"/>
    <s v="ELISANGELA PEDRO RODRIGUES OLIVEIRA"/>
    <m/>
    <s v="Sim"/>
    <m/>
    <s v="Sim"/>
    <m/>
    <s v="Sim"/>
    <m/>
    <s v="Sim"/>
    <m/>
    <s v="NUBIA AQUINO DA SILVA"/>
    <s v="CAMILA DA SILVA ANDRADE"/>
    <s v="SIM"/>
    <s v="PEPO-202604011714"/>
    <s v="Não consegui incluir os segundos avaliadores para a Caroline (que tem o nível equivalente à coordenação) e para o Luiz (que pode ser um analista da nossa área)"/>
  </r>
  <r>
    <d v="2026-01-04T17:14:00"/>
    <x v="15"/>
    <s v="NUBIA AQUINO DA SILVA"/>
    <m/>
    <s v="Sim"/>
    <m/>
    <s v="Sim"/>
    <m/>
    <s v="Sim"/>
    <m/>
    <s v="Sim"/>
    <m/>
    <s v="CAMILA DA SILVA ANDRADE"/>
    <s v="ELISANGELA PEDRO RODRIGUES OLIVEIRA"/>
    <s v="SIM"/>
    <s v="PEPO-202604011714"/>
    <s v="Não consegui incluir os segundos avaliadores para a Caroline (que tem o nível equivalente à coordenação) e para o Luiz (que pode ser um analista da nossa área)"/>
  </r>
  <r>
    <d v="2026-01-04T17:14:00"/>
    <x v="15"/>
    <s v="CAROLINE ANDRADE SANTOS BACELAR"/>
    <m/>
    <s v="Sim"/>
    <m/>
    <s v="Sim"/>
    <m/>
    <s v="Sim"/>
    <m/>
    <s v="Sim"/>
    <m/>
    <s v="LUIZ GUSTAVO GOMES CLEMENTE"/>
    <s v="CAMILA DA SILVA ANDRADE"/>
    <s v="SIM"/>
    <s v="PEPO-202604011714"/>
    <s v="Não consegui incluir os segundos avaliadores para a Caroline (que tem o nível equivalente à coordenação) e para o Luiz (que pode ser um analista da nossa área)"/>
  </r>
  <r>
    <d v="2026-01-04T17:14:00"/>
    <x v="15"/>
    <s v="LUIZ GUSTAVO GOMES CLEMENTE"/>
    <m/>
    <s v="Sim"/>
    <m/>
    <s v="Sim"/>
    <m/>
    <s v="Sim"/>
    <m/>
    <s v="Sim"/>
    <m/>
    <s v="CAROLINE ANDRADE SANTOS BACELAR"/>
    <s v="MICHELE CRISTINA DE SOUZA OLIVEIRA"/>
    <s v="SIM"/>
    <s v="PEPO-202604011714"/>
    <s v="Não consegui incluir os segundos avaliadores para a Caroline (que tem o nível equivalente à coordenação) e para o Luiz (que pode ser um analista da nossa área)"/>
  </r>
  <r>
    <d v="2026-01-04T17:14:00"/>
    <x v="15"/>
    <s v="MARIANA DE ALBUQUERQUE LOPES"/>
    <m/>
    <s v="Sim"/>
    <m/>
    <s v="Sim"/>
    <m/>
    <s v="Sim"/>
    <m/>
    <s v="Sim"/>
    <m/>
    <s v="MARCELA REGGIANI MORAES"/>
    <s v="ELISANGELA PEDRO RODRIGUES OLIVEIRA"/>
    <s v="SIM"/>
    <s v="PEPO-202604011714"/>
    <s v="Não consegui incluir os segundos avaliadores para a Caroline (que tem o nível equivalente à coordenação) e para o Luiz (que pode ser um analista da nossa área)"/>
  </r>
  <r>
    <d v="2026-01-04T17:14:00"/>
    <x v="15"/>
    <s v="BRAULIO PIOVEZANA RINCO"/>
    <m/>
    <s v="Sim"/>
    <m/>
    <s v="Sim"/>
    <m/>
    <s v="Sim"/>
    <m/>
    <s v="Sim"/>
    <m/>
    <s v="CAMILA DA SILVA ANDRADE"/>
    <s v="ELISANGELA PEDRO RODRIGUES OLIVEIRA"/>
    <s v="SIM"/>
    <s v="PEPO-202604011714"/>
    <s v="Não consegui incluir os segundos avaliadores para a Caroline (que tem o nível equivalente à coordenação) e para o Luiz (que pode ser um analista da nossa área)"/>
  </r>
  <r>
    <d v="2026-01-04T17:14:00"/>
    <x v="15"/>
    <s v="MARCELA REGGIANI MORAES"/>
    <m/>
    <s v="Sim"/>
    <m/>
    <s v="Sim"/>
    <m/>
    <s v="Sim"/>
    <m/>
    <s v="Sim"/>
    <m/>
    <s v="NUBIA AQUINO DA SILVA"/>
    <s v="MARIANA DE ALBUQUERQUE LOPES"/>
    <s v="SIM"/>
    <s v="PEPO-202604011714"/>
    <s v="Não consegui incluir os segundos avaliadores para a Caroline (que tem o nível equivalente à coordenação) e para o Luiz (que pode ser um analista da nossa área)"/>
  </r>
  <r>
    <d v="2026-01-04T17:25:00"/>
    <x v="16"/>
    <s v="JEFFERSON REBOUCAS RODRIGUES"/>
    <m/>
    <s v="Sim"/>
    <m/>
    <s v="Sim"/>
    <m/>
    <s v="Sim"/>
    <m/>
    <s v="Sim"/>
    <m/>
    <s v="RENATA MITSUE KARATO"/>
    <s v="PEDRO HENRIQUE ALVES LUZ"/>
    <s v="SIM"/>
    <s v="PEPO-202604011725"/>
    <m/>
  </r>
  <r>
    <d v="2026-01-04T17:25:00"/>
    <x v="16"/>
    <s v="GABRIEL ARAUJO FREITAS"/>
    <m/>
    <s v="Sim"/>
    <m/>
    <s v="Sim"/>
    <m/>
    <s v="Sim"/>
    <m/>
    <s v="Sim"/>
    <m/>
    <s v="THIAGO FARIAS DUTRA"/>
    <s v="PEDRO HENRIQUE ALVES LUZ"/>
    <s v="SIM"/>
    <s v="PEPO-202604011725"/>
    <m/>
  </r>
  <r>
    <d v="2026-01-04T17:25:00"/>
    <x v="16"/>
    <s v="PEDRO HENRIQUE ALVES LUZ"/>
    <m/>
    <s v="Sim"/>
    <m/>
    <s v="Sim"/>
    <m/>
    <s v="Sim"/>
    <m/>
    <s v="Sim"/>
    <m/>
    <s v="THIAGO FARIAS DUTRA"/>
    <s v="GABRIEL ARAUJO FREITAS"/>
    <s v="SIM"/>
    <s v="PEPO-202604011725"/>
    <m/>
  </r>
  <r>
    <d v="2026-01-04T17:25:00"/>
    <x v="16"/>
    <s v="RENATA MITSUE KARATO"/>
    <m/>
    <s v="Sim"/>
    <m/>
    <s v="Sim"/>
    <m/>
    <s v="Sim"/>
    <m/>
    <s v="Sim"/>
    <m/>
    <s v="CLARISSA CARLA XAVIER DA SILVA ROSA"/>
    <s v="JEFFERSON REBOUCAS RODRIGUES"/>
    <s v="SIM"/>
    <s v="PEPO-202604011725"/>
    <m/>
  </r>
  <r>
    <d v="2026-01-04T17:25:00"/>
    <x v="16"/>
    <s v="CLARISSA CARLA XAVIER DA SILVA ROSA"/>
    <m/>
    <s v="Sim"/>
    <m/>
    <s v="Sim"/>
    <m/>
    <s v="Sim"/>
    <m/>
    <s v="Sim"/>
    <m/>
    <s v="RENATA MITSUE KARATO"/>
    <s v="JEFFERSON REBOUCAS RODRIGUES"/>
    <s v="SIM"/>
    <s v="PEPO-202604011725"/>
    <m/>
  </r>
  <r>
    <d v="2026-01-04T17:25:00"/>
    <x v="16"/>
    <s v="THIAGO FARIAS DUTRA"/>
    <m/>
    <s v="Sim"/>
    <m/>
    <s v="Sim"/>
    <m/>
    <s v="Sim"/>
    <m/>
    <s v="Sim"/>
    <m/>
    <s v="GABRIEL ARAUJO FREITAS"/>
    <s v="PEDRO HENRIQUE ALVES LUZ"/>
    <s v="SIM"/>
    <s v="PEPO-202604011725"/>
    <m/>
  </r>
  <r>
    <d v="2026-01-04T17:28:00"/>
    <x v="17"/>
    <s v="THAIS HERINGER DA SILVA"/>
    <m/>
    <s v="Sim"/>
    <m/>
    <s v="Sim"/>
    <m/>
    <s v="Sim"/>
    <m/>
    <s v="Não"/>
    <m/>
    <s v="VICTOR ARAUJO PORTO"/>
    <s v="----------"/>
    <s v="SIM"/>
    <s v="PEPO-202604011728"/>
    <s v="Todos os POs, P. Ops e UX/UI agora fazem parte do time de Operações, sendo que também pertencemos ao time de Produto. Não encontrei o departamento correspondente para selecionar._x000a__x000a_Outro ponto é sobre os pares. Os UX/UI vão avaliar outros UX/UI e os P. Ops farão o mesmo com outros times? O documento ficou um pouco confuso nesse ponto."/>
  </r>
  <r>
    <d v="2026-01-04T17:28:00"/>
    <x v="17"/>
    <s v="VICTOR ARAUJO PORTO"/>
    <m/>
    <s v="Sim"/>
    <m/>
    <s v="Sim"/>
    <m/>
    <s v="Sim"/>
    <m/>
    <s v="Não"/>
    <m/>
    <s v="THAIS HERINGER DA SILVA"/>
    <s v="----------"/>
    <s v="SIM"/>
    <s v="PEPO-202604011728"/>
    <s v="Todos os POs, P. Ops e UX/UI agora fazem parte do time de Operações, sendo que também pertencemos ao time de Produto. Não encontrei o departamento correspondente para selecionar._x000a__x000a_Outro ponto é sobre os pares. Os UX/UI vão avaliar outros UX/UI e os P. Ops farão o mesmo com outros times? O documento ficou um pouco confuso nesse ponto."/>
  </r>
  <r>
    <d v="2026-02-04T09:32:00"/>
    <x v="18"/>
    <s v="EMANUELLY ASSUERIA BEZERRA MARTINS"/>
    <m/>
    <s v="Sim"/>
    <m/>
    <s v="Sim"/>
    <m/>
    <s v="Sim"/>
    <m/>
    <s v="Sim"/>
    <m/>
    <s v="LEANDRO CORREA"/>
    <s v="THAIS HERINGER DA SILVA"/>
    <s v="SIM"/>
    <s v="PEPO-202604020932"/>
    <m/>
  </r>
  <r>
    <d v="2026-02-04T09:43:00"/>
    <x v="19"/>
    <s v="MAIARA SCHWENGBER CORREA"/>
    <m/>
    <s v="Sim"/>
    <m/>
    <s v="Sim"/>
    <m/>
    <s v="Sim"/>
    <m/>
    <s v="Sim"/>
    <m/>
    <s v="LORRAYNE CRISTINE THEZA DO CARMO"/>
    <s v="ALINE DE GOES CAMARGO"/>
    <s v="SIM"/>
    <s v="PEPO-202604020943"/>
    <m/>
  </r>
  <r>
    <d v="2026-02-04T10:37:00"/>
    <x v="20"/>
    <s v="JEZI FERNANDO OLIVEIRA"/>
    <m/>
    <s v="Sim"/>
    <m/>
    <s v="Sim"/>
    <m/>
    <s v="Sim"/>
    <m/>
    <s v="Sim"/>
    <m/>
    <s v="LORRAYNE CRISTINE THEZA DO CARMO"/>
    <s v="MAIARA SCHWENGBER CORREA"/>
    <s v="SIM"/>
    <s v="PEPO-202604021037"/>
    <m/>
  </r>
  <r>
    <d v="2026-02-04T10:37:00"/>
    <x v="20"/>
    <s v="LORRAYNE CRISTINE THEZA DO CARMO"/>
    <m/>
    <s v="Sim"/>
    <m/>
    <s v="Sim"/>
    <m/>
    <s v="Sim"/>
    <m/>
    <s v="Sim"/>
    <m/>
    <s v="JEZI FERNANDO OLIVEIRA"/>
    <s v="LUIS FERNANDO KALIL ROSENBURG DE CASTRO"/>
    <s v="SIM"/>
    <s v="PEPO-202604021037"/>
    <m/>
  </r>
  <r>
    <d v="2026-02-04T17:17:00"/>
    <x v="21"/>
    <s v="SARAH NASCIMENTO BICALHO"/>
    <m/>
    <s v="Sim"/>
    <m/>
    <s v="Sim"/>
    <m/>
    <s v="Sim"/>
    <m/>
    <s v="Sim"/>
    <m/>
    <s v="LUIZ FERNANDO FRANÇA DOS SANTOS"/>
    <s v="RAFAEL MACHADO GOMES DE BARROS"/>
    <s v="SIM"/>
    <s v="PEPO-202604021717"/>
    <m/>
  </r>
  <r>
    <d v="2026-02-04T17:17:00"/>
    <x v="21"/>
    <s v="TAYENE RIBEIRO E SILVA"/>
    <m/>
    <s v="Sim"/>
    <m/>
    <s v="Sim"/>
    <m/>
    <s v="Sim"/>
    <m/>
    <s v="Sim"/>
    <m/>
    <s v="SARAH NASCIMENTO BICALHO"/>
    <s v="RAFAEL MACHADO GOMES DE BARROS"/>
    <s v="SIM"/>
    <s v="PEPO-202604021717"/>
    <m/>
  </r>
  <r>
    <d v="2026-02-04T17:17:00"/>
    <x v="21"/>
    <s v="RAFAEL MACHADO GOMES DE BARROS"/>
    <m/>
    <s v="Sim"/>
    <m/>
    <s v="Sim"/>
    <m/>
    <s v="Sim"/>
    <m/>
    <s v="Sim"/>
    <m/>
    <s v="SARAH NASCIMENTO BICALHO"/>
    <s v="LUIZ FERNANDO FRANÇA DOS SANTOS"/>
    <s v="SIM"/>
    <s v="PEPO-202604021717"/>
    <m/>
  </r>
  <r>
    <d v="2026-02-04T17:17:00"/>
    <x v="21"/>
    <s v="LUIZ FERNANDO FRANÇA DOS SANTOS"/>
    <m/>
    <s v="Sim"/>
    <m/>
    <s v="Sim"/>
    <m/>
    <s v="Sim"/>
    <m/>
    <s v="Sim"/>
    <m/>
    <s v="RAFAEL MACHADO GOMES DE BARROS"/>
    <s v="SARAH NASCIMENTO BICALHO"/>
    <s v="SIM"/>
    <s v="PEPO-202604021717"/>
    <m/>
  </r>
  <r>
    <d v="2026-02-04T17:17:00"/>
    <x v="21"/>
    <s v="CRISTIAN COSTA FERREIRA CAUS"/>
    <m/>
    <s v="Sim"/>
    <m/>
    <s v="Sim"/>
    <m/>
    <s v="Sim"/>
    <m/>
    <s v="Sim"/>
    <m/>
    <s v="NAYARA ROSA RODRIGUES"/>
    <s v="PABLO RODRIGUES LELES COSTA"/>
    <s v="SIM"/>
    <s v="PEPO-202604021717"/>
    <m/>
  </r>
  <r>
    <d v="2026-02-04T17:17:00"/>
    <x v="21"/>
    <s v="LUIZA GOMES FERREIRA"/>
    <m/>
    <s v="Sim"/>
    <m/>
    <s v="Sim"/>
    <m/>
    <s v="Sim"/>
    <m/>
    <s v="Sim"/>
    <m/>
    <s v="PABLO RODRIGUES LELES COSTA"/>
    <s v="CRISTIAN COSTA FERREIRA CAUS"/>
    <s v="SIM"/>
    <s v="PEPO-202604021717"/>
    <m/>
  </r>
  <r>
    <d v="2026-02-04T17:17:00"/>
    <x v="21"/>
    <s v="NAYARA ROSA RODRIGUES"/>
    <m/>
    <s v="Sim"/>
    <m/>
    <s v="Sim"/>
    <m/>
    <s v="Sim"/>
    <m/>
    <s v="Sim"/>
    <m/>
    <s v="LUIZA GOMES FERREIRA"/>
    <s v="CRISTIAN COSTA FERREIRA CAUS"/>
    <s v="SIM"/>
    <s v="PEPO-202604021717"/>
    <m/>
  </r>
  <r>
    <d v="2026-02-04T17:17:00"/>
    <x v="21"/>
    <s v="PABLO RODRIGUES LELES COSTA"/>
    <m/>
    <s v="Sim"/>
    <m/>
    <s v="Sim"/>
    <m/>
    <s v="Sim"/>
    <m/>
    <s v="Sim"/>
    <m/>
    <s v="THAÍS APARECIDA DE ARAÚJO"/>
    <s v="NAYARA ROSA RODRIGUES"/>
    <s v="SIM"/>
    <s v="PEPO-202604021717"/>
    <m/>
  </r>
  <r>
    <d v="2026-02-04T17:17:00"/>
    <x v="21"/>
    <s v="THAÍS APARECIDA DE ARAÚJO"/>
    <m/>
    <s v="Sim"/>
    <m/>
    <s v="Sim"/>
    <m/>
    <s v="Sim"/>
    <m/>
    <s v="Sim"/>
    <m/>
    <s v="LUIZA GOMES FERREIRA"/>
    <s v="PABLO RODRIGUES LELES COSTA"/>
    <s v="SIM"/>
    <s v="PEPO-202604021717"/>
    <m/>
  </r>
  <r>
    <d v="2026-07-04T17:50:00"/>
    <x v="22"/>
    <s v="JENNIFER CRISTINA FERREIRA DE SOUZA"/>
    <m/>
    <s v="Sim"/>
    <m/>
    <s v="Sim"/>
    <m/>
    <s v="Sim"/>
    <m/>
    <s v="Sim"/>
    <m/>
    <s v="DANIELA NOBRE MIGUEL"/>
    <s v="BRENDA ALINE PROCOPIO SILVA"/>
    <s v="SIM"/>
    <s v="PEPO-202604071750"/>
    <m/>
  </r>
  <r>
    <d v="2026-07-04T17:50:00"/>
    <x v="22"/>
    <s v="NATHALIA LAISSA LACERDA LOURDES"/>
    <m/>
    <s v="Sim"/>
    <m/>
    <s v="Sim"/>
    <m/>
    <s v="Sim"/>
    <m/>
    <s v="Sim"/>
    <m/>
    <s v="DANIELA NOBRE MIGUEL"/>
    <s v="THAYS CHRISTINE DOS SANTOS ASSIS MOTA"/>
    <s v="SIM"/>
    <s v="PEPO-202604071750"/>
    <m/>
  </r>
  <r>
    <d v="2026-07-04T17:50:00"/>
    <x v="22"/>
    <s v="THAYS CHRISTINE DOS SANTOS ASSIS MOTA"/>
    <m/>
    <s v="Sim"/>
    <m/>
    <s v="Sim"/>
    <m/>
    <s v="Sim"/>
    <m/>
    <s v="Sim"/>
    <m/>
    <s v="BRENDA ALINE PROCOPIO SILVA"/>
    <s v="NATHALIA LAISSA LACERDA LOURDES"/>
    <s v="SIM"/>
    <s v="PEPO-202604071750"/>
    <m/>
  </r>
  <r>
    <d v="2026-07-04T17:50:00"/>
    <x v="22"/>
    <s v="DANIELA NOBRE MIGUEL"/>
    <m/>
    <s v="Sim"/>
    <m/>
    <s v="Sim"/>
    <m/>
    <s v="Sim"/>
    <m/>
    <s v="Sim"/>
    <m/>
    <s v="NATHALIA LAISSA LACERDA LOURDES"/>
    <s v="JENNIFER CRISTINA FERREIRA DE SOUZA"/>
    <s v="SIM"/>
    <s v="PEPO-202604071750"/>
    <m/>
  </r>
  <r>
    <d v="2026-07-04T17:50:00"/>
    <x v="22"/>
    <s v="BIANCA DE MELO CARVALHO"/>
    <m/>
    <s v="Sim"/>
    <m/>
    <s v="Sim"/>
    <m/>
    <s v="Sim"/>
    <m/>
    <s v="Sim"/>
    <m/>
    <s v="RENATA ALVARENGA DA SILVA STOCLER"/>
    <s v="YASMIN FAVARO ROCHA"/>
    <s v="SIM"/>
    <s v="PEPO-202604071750"/>
    <m/>
  </r>
  <r>
    <d v="2026-07-04T17:50:00"/>
    <x v="22"/>
    <s v="RENATA ALVARENGA DA SILVA STOCLER"/>
    <m/>
    <s v="Sim"/>
    <m/>
    <s v="Sim"/>
    <m/>
    <s v="Sim"/>
    <m/>
    <s v="Sim"/>
    <m/>
    <s v="BIANCA DE MELO CARVALHO"/>
    <s v="DANIELA NOBRE MIGUEL"/>
    <s v="SIM"/>
    <s v="PEPO-202604071750"/>
    <m/>
  </r>
  <r>
    <d v="2026-07-04T17:50:00"/>
    <x v="22"/>
    <s v="BRENDA ALINE PROCOPIO SILVA"/>
    <m/>
    <s v="Sim"/>
    <m/>
    <s v="Sim"/>
    <m/>
    <s v="Sim"/>
    <m/>
    <s v="Sim"/>
    <m/>
    <s v="JENNIFER CRISTINA FERREIRA DE SOUZA"/>
    <s v="THAYS CHRISTINE DOS SANTOS ASSIS MOTA"/>
    <s v="SIM"/>
    <s v="PEPO-202604071750"/>
    <m/>
  </r>
  <r>
    <d v="2026-07-04T17:50:00"/>
    <x v="22"/>
    <s v="YASMIN FAVARO ROCHA"/>
    <m/>
    <s v="Sim"/>
    <m/>
    <s v="Sim"/>
    <m/>
    <s v="Sim"/>
    <m/>
    <s v="Sim"/>
    <m/>
    <s v="RENATA ALVARENGA DA SILVA STOCLER"/>
    <s v="GUSTAVO ELIAS ALMEIDA SILVA"/>
    <s v="SIM"/>
    <s v="PEPO-202604071750"/>
    <m/>
  </r>
  <r>
    <d v="2026-07-04T17:50:00"/>
    <x v="22"/>
    <s v="GUSTAVO ELIAS ALMEIDA SILVA"/>
    <m/>
    <s v="Sim"/>
    <m/>
    <s v="Sim"/>
    <m/>
    <s v="Sim"/>
    <m/>
    <s v="Sim"/>
    <m/>
    <s v="BIANCA DE MELO CARVALHO"/>
    <s v="YASMIN FAVARO ROCHA"/>
    <s v="SIM"/>
    <s v="PEPO-202604071750"/>
    <m/>
  </r>
  <r>
    <d v="2026-08-04T17:05:00"/>
    <x v="23"/>
    <s v="LEONARDO OLIVEIRA SOARES SILVA"/>
    <m/>
    <s v="Sim"/>
    <m/>
    <s v="Sim"/>
    <m/>
    <s v="Sim"/>
    <m/>
    <s v="Sim"/>
    <m/>
    <s v="PEDRO PABLO BRAGA GARCIA"/>
    <s v="IGOR ARAUJO"/>
    <s v="SIM"/>
    <s v="PEPO-202604081705"/>
    <m/>
  </r>
  <r>
    <d v="2026-08-04T17:05:00"/>
    <x v="23"/>
    <s v="LEONARDO OLIVEIRA SOARES SILVA"/>
    <m/>
    <s v="Sim"/>
    <m/>
    <s v="Sim"/>
    <m/>
    <s v="Sim"/>
    <m/>
    <s v="Sim"/>
    <m/>
    <s v="PEDRO PABLO BRAGA GARCIA"/>
    <s v="IGOR ARAUJO"/>
    <s v="SIM"/>
    <s v="PEPO-202604081705"/>
    <m/>
  </r>
  <r>
    <d v="2026-08-04T17:05:00"/>
    <x v="23"/>
    <s v="PEDRO PABLO BRAGA GARCIA"/>
    <m/>
    <s v="Sim"/>
    <m/>
    <s v="Sim"/>
    <m/>
    <s v="Sim"/>
    <m/>
    <s v="Sim"/>
    <m/>
    <s v="LEONARDO OLIVEIRA SOARES SILVA"/>
    <s v="IGOR ARAUJO"/>
    <s v="SIM"/>
    <s v="PEPO-202604081705"/>
    <m/>
  </r>
  <r>
    <d v="2026-08-04T17:05:00"/>
    <x v="23"/>
    <s v="PEDRO PABLO BRAGA GARCIA"/>
    <m/>
    <s v="Sim"/>
    <m/>
    <s v="Sim"/>
    <m/>
    <s v="Sim"/>
    <m/>
    <s v="Sim"/>
    <m/>
    <s v="LEONARDO OLIVEIRA SOARES SILVA"/>
    <s v="IGOR ARAUJO"/>
    <s v="SIM"/>
    <s v="PEPO-202604081705"/>
    <m/>
  </r>
  <r>
    <d v="2026-08-04T17:05:00"/>
    <x v="23"/>
    <s v="IGOR ARAUJO"/>
    <m/>
    <s v="Sim"/>
    <m/>
    <s v="Sim"/>
    <m/>
    <s v="Sim"/>
    <m/>
    <s v="Sim"/>
    <m/>
    <s v="PEDRO PABLO BRAGA GARCIA"/>
    <s v="LEONARDO OLIVEIRA SOARES SILVA"/>
    <s v="SIM"/>
    <s v="PEPO-202604081705"/>
    <m/>
  </r>
  <r>
    <d v="2026-08-04T17:05:00"/>
    <x v="23"/>
    <s v="IGOR ARAUJO"/>
    <m/>
    <s v="Sim"/>
    <m/>
    <s v="Sim"/>
    <m/>
    <s v="Sim"/>
    <m/>
    <s v="Sim"/>
    <m/>
    <s v="PEDRO PABLO BRAGA GARCIA"/>
    <s v="LEONARDO OLIVEIRA SOARES SILVA"/>
    <s v="SIM"/>
    <s v="PEPO-202604081705"/>
    <m/>
  </r>
  <r>
    <d v="2026-08-04T17:09:00"/>
    <x v="24"/>
    <s v="HENRIQUE VENANCIO DE SOUZA"/>
    <m/>
    <s v="Sim"/>
    <m/>
    <s v="Sim"/>
    <m/>
    <s v="Sim"/>
    <m/>
    <s v="Sim"/>
    <m/>
    <s v="SUELEN CRISTINA GONCALVES"/>
    <s v="ALEX SILVA ESTEBANEZ"/>
    <s v="SIM"/>
    <s v="PEPO-202604081709"/>
    <m/>
  </r>
  <r>
    <d v="2026-08-04T17:09:00"/>
    <x v="24"/>
    <s v="ALEX SILVA ESTEBANEZ"/>
    <m/>
    <s v="Sim"/>
    <m/>
    <s v="Sim"/>
    <m/>
    <s v="Sim"/>
    <m/>
    <s v="Sim"/>
    <m/>
    <s v="SUELEN CRISTINA GONCALVES"/>
    <s v="HENRIQUE VENANCIO DE SOUZA"/>
    <s v="SIM"/>
    <s v="PEPO-202604081709"/>
    <m/>
  </r>
  <r>
    <d v="2026-08-04T17:09:00"/>
    <x v="24"/>
    <s v="SUELEN CRISTINA GONCALVES"/>
    <m/>
    <s v="Sim"/>
    <m/>
    <s v="Sim"/>
    <m/>
    <s v="Sim"/>
    <m/>
    <s v="Sim"/>
    <m/>
    <s v="ALEX SILVA ESTEBANEZ"/>
    <s v="HENRIQUE VENANCIO DE SOUZA"/>
    <s v="SIM"/>
    <s v="PEPO-202604081709"/>
    <m/>
  </r>
  <r>
    <d v="2026-08-04T17:12:00"/>
    <x v="25"/>
    <s v="DENIS SIQUEIRA MOURA"/>
    <m/>
    <s v="Sim"/>
    <m/>
    <s v="Sim"/>
    <m/>
    <s v="Sim"/>
    <m/>
    <s v="Sim"/>
    <m/>
    <s v="TAILY PEREIRA DE CARVALHO"/>
    <s v="NADABY HAUANE DOURADO DE OLIVEIRA"/>
    <s v="SIM"/>
    <s v="PEPO-202604081712"/>
    <m/>
  </r>
  <r>
    <d v="2026-08-04T17:12:00"/>
    <x v="25"/>
    <s v="TAILY PEREIRA DE CARVALHO"/>
    <m/>
    <s v="Sim"/>
    <m/>
    <s v="Sim"/>
    <m/>
    <s v="Sim"/>
    <m/>
    <s v="Sim"/>
    <m/>
    <s v="DENIS SIQUEIRA MOURA"/>
    <s v="TAMARA FERNANDA DE AZEVEDO BARBOSA"/>
    <s v="SIM"/>
    <s v="PEPO-202604081712"/>
    <m/>
  </r>
  <r>
    <d v="2026-08-04T17:12:00"/>
    <x v="25"/>
    <s v="NADABY HAUANE DOURADO DE OLIVEIRA"/>
    <m/>
    <s v="Sim"/>
    <m/>
    <s v="Sim"/>
    <m/>
    <s v="Sim"/>
    <m/>
    <s v="Sim"/>
    <m/>
    <s v="DENIS SIQUEIRA MOURA"/>
    <s v="TAILY PEREIRA DE CARVALHO"/>
    <s v="SIM"/>
    <s v="PEPO-202604081712"/>
    <m/>
  </r>
  <r>
    <d v="2026-08-04T17:12:00"/>
    <x v="25"/>
    <s v="RAFAELA MOTA MEIRELES DO NASCIMENTO"/>
    <m/>
    <s v="Sim"/>
    <m/>
    <s v="Sim"/>
    <m/>
    <s v="Sim"/>
    <m/>
    <s v="Sim"/>
    <m/>
    <s v="TAMARA FERNANDA DE AZEVEDO BARBOSA"/>
    <s v="DENIS SIQUEIRA MOURA"/>
    <s v="SIM"/>
    <s v="PEPO-202604081712"/>
    <m/>
  </r>
  <r>
    <d v="2026-08-04T17:12:00"/>
    <x v="25"/>
    <s v="TAMARA FERNANDA DE AZEVEDO BARBOSA"/>
    <m/>
    <s v="Sim"/>
    <m/>
    <s v="Sim"/>
    <m/>
    <s v="Sim"/>
    <m/>
    <s v="Sim"/>
    <m/>
    <s v="TAILY PEREIRA DE CARVALHO"/>
    <s v="NADABY HAUANE DOURADO DE OLIVEIRA"/>
    <s v="SIM"/>
    <s v="PEPO-202604081712"/>
    <m/>
  </r>
  <r>
    <d v="2026-08-04T17:56:00"/>
    <x v="26"/>
    <s v="NATALIA XAVIER REIS"/>
    <m/>
    <s v="Sim"/>
    <m/>
    <s v="Sim"/>
    <m/>
    <s v="Sim"/>
    <m/>
    <s v="Sim"/>
    <m/>
    <s v="STHEFANIE KEROLYN TOMAZ DE ALMEIDA"/>
    <s v="ANA BEATRIZ DA SILVA COSTA"/>
    <s v="SIM"/>
    <s v="PEPO-202604081756"/>
    <m/>
  </r>
  <r>
    <d v="2026-08-04T17:56:00"/>
    <x v="26"/>
    <s v="STHEFANIE KEROLYN TOMAZ DE ALMEIDA"/>
    <m/>
    <s v="Sim"/>
    <m/>
    <s v="Sim"/>
    <m/>
    <s v="Sim"/>
    <m/>
    <s v="Sim"/>
    <m/>
    <s v="NATALIA XAVIER REIS"/>
    <s v="GABRIELA ARAUJO DE SOUZA"/>
    <s v="SIM"/>
    <s v="PEPO-202604081756"/>
    <m/>
  </r>
  <r>
    <d v="2026-08-04T19:07:00"/>
    <x v="27"/>
    <s v="FLAVIO HENRIQUE ALMEIDA FERREIRA DE MELO"/>
    <m/>
    <s v="Sim"/>
    <m/>
    <s v="Sim"/>
    <m/>
    <s v="Sim"/>
    <m/>
    <s v="Sim"/>
    <m/>
    <s v="ALEX ALVARES PIMENTEL MACIEL"/>
    <s v="LUÍS HENRIQUE SOARES DUTRA DE ANDRADE"/>
    <s v="SIM"/>
    <s v="PEPO-202604081907"/>
    <m/>
  </r>
  <r>
    <d v="2026-09-04T00:44:00"/>
    <x v="28"/>
    <s v="LIVIA CRISTINE DE OLIVEIRA"/>
    <m/>
    <s v="Sim"/>
    <m/>
    <s v="Sim"/>
    <m/>
    <s v="Sim"/>
    <m/>
    <s v="Sim"/>
    <m/>
    <s v="RICARDO VITAL MARTINS TORRES"/>
    <s v="PEDRO AUGUSTO LEAO LIMA"/>
    <s v="SIM"/>
    <s v="PEPO-202604090044"/>
    <s v="O Colaborador Pedro Augusto Leão Lima não faz mais parte da equipe"/>
  </r>
  <r>
    <d v="2026-09-04T00:44:00"/>
    <x v="28"/>
    <s v="RICARDO VITAL MARTINS TORRES"/>
    <m/>
    <s v="Sim"/>
    <m/>
    <s v="Sim"/>
    <m/>
    <s v="Sim"/>
    <m/>
    <s v="Sim"/>
    <m/>
    <s v="LIVIA CRISTINE DE OLIVEIRA"/>
    <s v="PEDRO AUGUSTO LEAO LIMA"/>
    <s v="SIM"/>
    <s v="PEPO-202604090044"/>
    <s v="O Colaborador Pedro Augusto Leão Lima não faz mais parte da equipe"/>
  </r>
  <r>
    <d v="2026-09-04T00:44:00"/>
    <x v="28"/>
    <s v="PEDRO AUGUSTO LEAO LIMA"/>
    <m/>
    <s v="Sim"/>
    <m/>
    <s v="Sim"/>
    <m/>
    <s v="Sim"/>
    <m/>
    <s v="Sim"/>
    <m/>
    <s v="RICARDO VITAL MARTINS TORRES"/>
    <s v="LIVIA CRISTINE DE OLIVEIRA"/>
    <s v="SIM"/>
    <s v="PEPO-202604090044"/>
    <s v="O Colaborador Pedro Augusto Leão Lima não faz mais parte da equipe"/>
  </r>
  <r>
    <d v="2026-09-04T00:54:00"/>
    <x v="29"/>
    <s v="TIAGO PEREIRA DO NASCIMENTO"/>
    <m/>
    <s v="Sim"/>
    <m/>
    <s v="Sim"/>
    <m/>
    <s v="Sim"/>
    <m/>
    <s v="Sim"/>
    <m/>
    <s v="VINICIUS NASCIMENTO"/>
    <s v="VITOR ZARETZKI DE SOUZA"/>
    <s v="SIM"/>
    <s v="PEPO-202604090054"/>
    <m/>
  </r>
  <r>
    <d v="2026-09-04T00:54:00"/>
    <x v="29"/>
    <s v="VINICIUS NASCIMENTO"/>
    <m/>
    <s v="Sim"/>
    <m/>
    <s v="Sim"/>
    <m/>
    <s v="Sim"/>
    <m/>
    <s v="Sim"/>
    <m/>
    <s v="TIAGO PEREIRA DO NASCIMENTO"/>
    <s v="VITOR ZARETZKI DE SOUZA"/>
    <s v="SIM"/>
    <s v="PEPO-202604090054"/>
    <m/>
  </r>
  <r>
    <d v="2026-09-04T08:31:00"/>
    <x v="30"/>
    <s v="THIAGO DA PAZ SANTOS JUNIOR"/>
    <m/>
    <s v="Sim"/>
    <m/>
    <s v="Sim"/>
    <m/>
    <s v="Sim"/>
    <m/>
    <s v="Sim"/>
    <m/>
    <s v="NICOLE EMILY FERREIRA DE LIMA"/>
    <s v="VICTOR MAYA NASCIMENTO ALMEIDA"/>
    <s v="SIM"/>
    <s v="PEPO-202604090831"/>
    <m/>
  </r>
  <r>
    <d v="2026-09-04T08:31:00"/>
    <x v="30"/>
    <s v="NICOLE EMILY FERREIRA DE LIMA"/>
    <m/>
    <s v="Sim"/>
    <m/>
    <s v="Sim"/>
    <m/>
    <s v="Sim"/>
    <m/>
    <s v="Sim"/>
    <m/>
    <s v="THIAGO DA PAZ SANTOS JUNIOR"/>
    <s v="FREDERICO FERREIRA ARAUJO"/>
    <s v="SIM"/>
    <s v="PEPO-202604090831"/>
    <m/>
  </r>
  <r>
    <d v="2026-09-04T10:13:00"/>
    <x v="31"/>
    <s v="JESSYCA MONIQUE RODRIGUES"/>
    <m/>
    <s v="Sim"/>
    <m/>
    <s v="Sim"/>
    <m/>
    <s v="Sim"/>
    <m/>
    <s v="Sim"/>
    <m/>
    <s v="GERALDO GLICERIO DA SILVA JUNIOR"/>
    <s v="RAISSA MENDES LOPES"/>
    <s v="SIM"/>
    <s v="PEPO-202604091013"/>
    <m/>
  </r>
  <r>
    <d v="2026-09-04T10:13:00"/>
    <x v="31"/>
    <s v="JESSYCA MONIQUE RODRIGUES"/>
    <m/>
    <s v="Sim"/>
    <m/>
    <s v="Sim"/>
    <m/>
    <s v="Sim"/>
    <m/>
    <s v="Sim"/>
    <m/>
    <s v="GERALDO GLICERIO DA SILVA JUNIOR"/>
    <s v="RAISSA MENDES LOPES"/>
    <s v="SIM"/>
    <s v="PEPO-202604091013"/>
    <m/>
  </r>
  <r>
    <d v="2026-09-04T10:13:00"/>
    <x v="31"/>
    <s v="JESSYCA MONIQUE RODRIGUES"/>
    <m/>
    <s v="Sim"/>
    <m/>
    <s v="Sim"/>
    <m/>
    <s v="Sim"/>
    <m/>
    <s v="Sim"/>
    <m/>
    <s v="GERALDO GLICERIO DA SILVA JUNIOR"/>
    <s v="RAISSA MENDES LOPES"/>
    <s v="SIM"/>
    <s v="PEPO-202604091013"/>
    <m/>
  </r>
  <r>
    <d v="2026-09-04T10:13:00"/>
    <x v="31"/>
    <s v="GERALDO GLICERIO DA SILVA JUNIOR"/>
    <m/>
    <s v="Sim"/>
    <m/>
    <s v="Sim"/>
    <m/>
    <s v="Sim"/>
    <m/>
    <s v="Sim"/>
    <m/>
    <s v="JESSYCA MONIQUE RODRIGUES"/>
    <s v="LUIZ GUSTAVO FERREIRA DOS REIS"/>
    <s v="SIM"/>
    <s v="PEPO-202604091013"/>
    <m/>
  </r>
  <r>
    <d v="2026-09-04T10:13:00"/>
    <x v="31"/>
    <s v="GERALDO GLICERIO DA SILVA JUNIOR"/>
    <m/>
    <s v="Sim"/>
    <m/>
    <s v="Sim"/>
    <m/>
    <s v="Sim"/>
    <m/>
    <s v="Sim"/>
    <m/>
    <s v="JESSYCA MONIQUE RODRIGUES"/>
    <s v="LUIZ GUSTAVO FERREIRA DOS REIS"/>
    <s v="SIM"/>
    <s v="PEPO-202604091013"/>
    <m/>
  </r>
  <r>
    <d v="2026-09-04T10:13:00"/>
    <x v="31"/>
    <s v="GERALDO GLICERIO DA SILVA JUNIOR"/>
    <m/>
    <s v="Sim"/>
    <m/>
    <s v="Sim"/>
    <m/>
    <s v="Sim"/>
    <m/>
    <s v="Sim"/>
    <m/>
    <s v="JESSYCA MONIQUE RODRIGUES"/>
    <s v="LUIZ GUSTAVO FERREIRA DOS REIS"/>
    <s v="SIM"/>
    <s v="PEPO-202604091013"/>
    <m/>
  </r>
  <r>
    <d v="2026-09-04T10:13:00"/>
    <x v="31"/>
    <s v="LARISSA MARQUES ANASTACIO"/>
    <m/>
    <s v="Sim"/>
    <m/>
    <s v="Sim"/>
    <m/>
    <s v="Sim"/>
    <m/>
    <s v="Sim"/>
    <m/>
    <s v="JESSYCA MONIQUE RODRIGUES"/>
    <s v="GERALDO GLICERIO DA SILVA JUNIOR"/>
    <s v="SIM"/>
    <s v="PEPO-202604091013"/>
    <m/>
  </r>
  <r>
    <d v="2026-09-04T10:13:00"/>
    <x v="31"/>
    <s v="LARISSA MARQUES ANASTACIO"/>
    <m/>
    <s v="Sim"/>
    <m/>
    <s v="Sim"/>
    <m/>
    <s v="Sim"/>
    <m/>
    <s v="Sim"/>
    <m/>
    <s v="JESSYCA MONIQUE RODRIGUES"/>
    <s v="GERALDO GLICERIO DA SILVA JUNIOR"/>
    <s v="SIM"/>
    <s v="PEPO-202604091013"/>
    <m/>
  </r>
  <r>
    <d v="2026-09-04T10:13:00"/>
    <x v="31"/>
    <s v="LARISSA MARQUES ANASTACIO"/>
    <m/>
    <s v="Sim"/>
    <m/>
    <s v="Sim"/>
    <m/>
    <s v="Sim"/>
    <m/>
    <s v="Sim"/>
    <m/>
    <s v="JESSYCA MONIQUE RODRIGUES"/>
    <s v="GERALDO GLICERIO DA SILVA JUNIOR"/>
    <s v="SIM"/>
    <s v="PEPO-202604091013"/>
    <m/>
  </r>
  <r>
    <d v="2026-09-04T10:13:00"/>
    <x v="31"/>
    <s v="LUIZ GUSTAVO FERREIRA DOS REIS"/>
    <m/>
    <s v="Sim"/>
    <m/>
    <s v="Sim"/>
    <m/>
    <s v="Sim"/>
    <m/>
    <s v="Sim"/>
    <m/>
    <s v="RAISSA MENDES LOPES"/>
    <s v="GERALDO GLICERIO DA SILVA JUNIOR"/>
    <s v="SIM"/>
    <s v="PEPO-202604091013"/>
    <m/>
  </r>
  <r>
    <d v="2026-09-04T10:13:00"/>
    <x v="31"/>
    <s v="LUIZ GUSTAVO FERREIRA DOS REIS"/>
    <m/>
    <s v="Sim"/>
    <m/>
    <s v="Sim"/>
    <m/>
    <s v="Sim"/>
    <m/>
    <s v="Sim"/>
    <m/>
    <s v="RAISSA MENDES LOPES"/>
    <s v="GERALDO GLICERIO DA SILVA JUNIOR"/>
    <s v="SIM"/>
    <s v="PEPO-202604091013"/>
    <m/>
  </r>
  <r>
    <d v="2026-09-04T10:13:00"/>
    <x v="31"/>
    <s v="LUIZ GUSTAVO FERREIRA DOS REIS"/>
    <m/>
    <s v="Sim"/>
    <m/>
    <s v="Sim"/>
    <m/>
    <s v="Sim"/>
    <m/>
    <s v="Sim"/>
    <m/>
    <s v="RAISSA MENDES LOPES"/>
    <s v="GERALDO GLICERIO DA SILVA JUNIOR"/>
    <s v="SIM"/>
    <s v="PEPO-202604091013"/>
    <m/>
  </r>
  <r>
    <d v="2026-09-04T10:13:00"/>
    <x v="31"/>
    <s v="RAISSA MENDES LOPES"/>
    <m/>
    <s v="Sim"/>
    <m/>
    <s v="Sim"/>
    <m/>
    <s v="Sim"/>
    <m/>
    <s v="Sim"/>
    <m/>
    <s v="JESSYCA MONIQUE RODRIGUES"/>
    <s v="LARISSA MARQUES ANASTACIO"/>
    <s v="SIM"/>
    <s v="PEPO-202604091013"/>
    <m/>
  </r>
  <r>
    <d v="2026-09-04T10:13:00"/>
    <x v="31"/>
    <s v="RAISSA MENDES LOPES"/>
    <m/>
    <s v="Sim"/>
    <m/>
    <s v="Sim"/>
    <m/>
    <s v="Sim"/>
    <m/>
    <s v="Sim"/>
    <m/>
    <s v="JESSYCA MONIQUE RODRIGUES"/>
    <s v="LARISSA MARQUES ANASTACIO"/>
    <s v="SIM"/>
    <s v="PEPO-202604091013"/>
    <m/>
  </r>
  <r>
    <d v="2026-09-04T10:13:00"/>
    <x v="31"/>
    <s v="RAISSA MENDES LOPES"/>
    <m/>
    <s v="Sim"/>
    <m/>
    <s v="Sim"/>
    <m/>
    <s v="Sim"/>
    <m/>
    <s v="Sim"/>
    <m/>
    <s v="JESSYCA MONIQUE RODRIGUES"/>
    <s v="LARISSA MARQUES ANASTACIO"/>
    <s v="SIM"/>
    <s v="PEPO-202604091013"/>
    <m/>
  </r>
  <r>
    <d v="2026-09-04T10:37:00"/>
    <x v="32"/>
    <s v="EDUARDO KRAMER LAGUNA"/>
    <m/>
    <s v="Sim"/>
    <m/>
    <s v="Sim"/>
    <m/>
    <s v="Sim"/>
    <m/>
    <s v="Sim"/>
    <m/>
    <s v="LUCAS EDUARDO MOCELIN"/>
    <s v="MATEUS HENRIQUE CAVALCANTE"/>
    <s v="SIM"/>
    <s v="PEPO-202604091037"/>
    <m/>
  </r>
  <r>
    <d v="2026-09-04T10:37:00"/>
    <x v="32"/>
    <s v="GIOVANE AIRTON TIMM"/>
    <m/>
    <s v="Sim"/>
    <m/>
    <s v="Sim"/>
    <m/>
    <s v="Sim"/>
    <m/>
    <s v="Sim"/>
    <m/>
    <s v="EDUARDO KRAMER LAGUNA"/>
    <s v="FELIPE SILVA SANTANA DOS SANTOS"/>
    <s v="SIM"/>
    <s v="PEPO-202604091037"/>
    <m/>
  </r>
  <r>
    <d v="2026-09-04T10:37:00"/>
    <x v="32"/>
    <s v="LUCAS EDUARDO MOCELIN"/>
    <m/>
    <s v="Sim"/>
    <m/>
    <s v="Sim"/>
    <m/>
    <s v="Sim"/>
    <m/>
    <s v="Sim"/>
    <m/>
    <s v="EDUARDO KRAMER LAGUNA"/>
    <s v="PAOLA JULIE DOS SANTOS DA SILVA"/>
    <s v="SIM"/>
    <s v="PEPO-202604091037"/>
    <m/>
  </r>
  <r>
    <d v="2026-09-04T10:37:00"/>
    <x v="32"/>
    <s v="MATEUS HENRIQUE CAVALCANTE"/>
    <m/>
    <s v="Sim"/>
    <m/>
    <s v="Sim"/>
    <m/>
    <s v="Sim"/>
    <m/>
    <s v="Sim"/>
    <m/>
    <s v="WILLIAN MITSUO HISSAMURA ABE"/>
    <s v="SERGIO LUIZ PACHECO"/>
    <s v="SIM"/>
    <s v="PEPO-202604091037"/>
    <m/>
  </r>
  <r>
    <d v="2026-09-04T10:37:00"/>
    <x v="32"/>
    <s v="PAOLA JULIE DOS SANTOS DA SILVA"/>
    <m/>
    <s v="Sim"/>
    <m/>
    <s v="Sim"/>
    <m/>
    <s v="Sim"/>
    <m/>
    <s v="Sim"/>
    <m/>
    <s v="LUCAS EDUARDO MOCELIN"/>
    <s v="MATEUS HENRIQUE CAVALCANTE"/>
    <s v="SIM"/>
    <s v="PEPO-202604091037"/>
    <m/>
  </r>
  <r>
    <d v="2026-09-04T10:37:00"/>
    <x v="32"/>
    <s v="WILLIAN MITSUO HISSAMURA ABE"/>
    <m/>
    <s v="Sim"/>
    <m/>
    <s v="Sim"/>
    <m/>
    <s v="Sim"/>
    <m/>
    <s v="Sim"/>
    <m/>
    <s v="RICARDO AKIO JURACH FUKUI"/>
    <s v="EDUARDO KRAMER LAGUNA"/>
    <s v="SIM"/>
    <s v="PEPO-202604091037"/>
    <m/>
  </r>
  <r>
    <d v="2026-09-04T10:37:00"/>
    <x v="32"/>
    <s v="LARISSA SANTOS LIMA"/>
    <m/>
    <s v="Sim"/>
    <m/>
    <s v="Sim"/>
    <m/>
    <s v="Sim"/>
    <m/>
    <s v="Sim"/>
    <m/>
    <s v="FREDERICO FERREIRA ARAUJO"/>
    <s v="SERGIO LUIZ PACHECO"/>
    <s v="SIM"/>
    <s v="PEPO-202604091037"/>
    <m/>
  </r>
  <r>
    <d v="2026-09-04T10:37:00"/>
    <x v="32"/>
    <s v="SERGIO LUIZ PACHECO"/>
    <m/>
    <s v="Sim"/>
    <m/>
    <s v="Sim"/>
    <m/>
    <s v="Sim"/>
    <m/>
    <s v="Sim"/>
    <m/>
    <s v="PAOLA JULIE DOS SANTOS DA SILVA"/>
    <s v="EDUARDO KRAMER LAGUNA"/>
    <s v="SIM"/>
    <s v="PEPO-202604091037"/>
    <m/>
  </r>
  <r>
    <d v="2026-09-04T10:37:00"/>
    <x v="32"/>
    <s v="FREDERICO FERREIRA ARAUJO"/>
    <m/>
    <s v="Sim"/>
    <m/>
    <s v="Sim"/>
    <m/>
    <s v="Sim"/>
    <m/>
    <s v="Sim"/>
    <m/>
    <s v="LARISSA SANTOS LIMA"/>
    <s v="SERGIO LUIZ PACHECO"/>
    <s v="SIM"/>
    <s v="PEPO-202604091037"/>
    <m/>
  </r>
  <r>
    <d v="2026-09-04T10:37:00"/>
    <x v="32"/>
    <s v="RICARDO AKIO JURACH FUKUI"/>
    <m/>
    <s v="Sim"/>
    <m/>
    <s v="Sim"/>
    <m/>
    <s v="Sim"/>
    <m/>
    <s v="Sim"/>
    <m/>
    <s v="MATEUS HENRIQUE CAVALCANTE"/>
    <s v="WILLIAN MITSUO HISSAMURA ABE"/>
    <s v="SIM"/>
    <s v="PEPO-202604091037"/>
    <m/>
  </r>
  <r>
    <d v="2026-09-04T10:37:00"/>
    <x v="32"/>
    <s v="FELIPE SILVA SANTANA DOS SANTOS"/>
    <m/>
    <s v="Sim"/>
    <m/>
    <s v="Sim"/>
    <m/>
    <s v="Sim"/>
    <m/>
    <s v="Sim"/>
    <m/>
    <s v="LUCAS EDUARDO MOCELIN"/>
    <s v="SERGIO LUIZ PACHECO"/>
    <s v="SIM"/>
    <s v="PEPO-202604091037"/>
    <m/>
  </r>
  <r>
    <d v="2026-09-04T14:47:00"/>
    <x v="33"/>
    <s v="CAIO TEIXEIRA DE ARAUJO"/>
    <m/>
    <s v="Sim"/>
    <m/>
    <s v="Sim"/>
    <m/>
    <s v="Sim"/>
    <m/>
    <s v="Sim"/>
    <m/>
    <s v="GIORDANO BRUNO BORGES BRAZ DA SILVA"/>
    <s v="RICARDO FELIPE MENDES FERREIR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DEGEMAR PEREIRA DA SILVA"/>
    <m/>
    <s v="Não"/>
    <s v="MATHEUS ARTHUR FACHIN"/>
    <s v="Sim"/>
    <m/>
    <s v="Sim"/>
    <m/>
    <s v="Não"/>
    <m/>
    <s v="EMERSON DANTAS PEREIRA"/>
    <s v="FELIPE PIRES SOARES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MARIA CLARA SOUSA NEGRÃO"/>
    <m/>
    <s v="Sim"/>
    <m/>
    <s v="Sim"/>
    <m/>
    <s v="Sim"/>
    <m/>
    <s v="Sim"/>
    <m/>
    <s v="ALISSON LUAN DA SILVA"/>
    <s v="ARIEL CRIVELLARO MARTINS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BARBARA CARDOSO DULTRA"/>
    <m/>
    <s v="Sim"/>
    <m/>
    <s v="Sim"/>
    <m/>
    <s v="Sim"/>
    <m/>
    <s v="Sim"/>
    <m/>
    <s v="GIORDANO BRUNO BORGES BRAZ DA SILVA"/>
    <s v="FELIPE VILELLA DE OLIVEIRA ALVES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FELIPE VILELLA DE OLIVEIRA ALVES"/>
    <m/>
    <s v="Sim"/>
    <m/>
    <s v="Sim"/>
    <m/>
    <s v="Sim"/>
    <m/>
    <s v="Sim"/>
    <m/>
    <s v="ARTHUR FREITAS CESARINO DOS SANTOS"/>
    <s v="GIORDANO BRUNO BORGES BRAZ DA SILV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GIORDANO BRUNO BORGES BRAZ DA SILVA"/>
    <m/>
    <s v="Sim"/>
    <m/>
    <s v="Sim"/>
    <m/>
    <s v="Sim"/>
    <m/>
    <s v="Sim"/>
    <m/>
    <s v="BARBARA CARDOSO DULTRA"/>
    <s v="ARTHUR FREITAS CESARINO DOS SANTOS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MATHEUS SANTOS PEREIRA"/>
    <m/>
    <s v="Não"/>
    <s v="RONALDO BRUNO DE SOUZA SANTOS"/>
    <s v="Sim"/>
    <m/>
    <s v="Sim"/>
    <m/>
    <s v="Não"/>
    <m/>
    <s v="VICTOR MAYA NASCIMENTO ALMEIDA"/>
    <s v="DEGEMAR PEREIRA DA SILV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ALISSON LUAN DA SILVA"/>
    <m/>
    <s v="Sim"/>
    <m/>
    <s v="Sim"/>
    <m/>
    <s v="Sim"/>
    <m/>
    <s v="Sim"/>
    <m/>
    <s v="ARIEL CRIVELLARO MARTINS"/>
    <s v="RICARDO FELIPE MENDES FERREIR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ARIEL CRIVELLARO MARTINS"/>
    <m/>
    <s v="Sim"/>
    <m/>
    <s v="Sim"/>
    <m/>
    <s v="Sim"/>
    <m/>
    <s v="Sim"/>
    <m/>
    <s v="ALISSON LUAN DA SILVA"/>
    <s v="EMERSON DANTAS PEREIR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ARTHUR FREITAS CESARINO DOS SANTOS"/>
    <m/>
    <s v="Sim"/>
    <m/>
    <s v="Sim"/>
    <m/>
    <s v="Sim"/>
    <m/>
    <s v="Sim"/>
    <m/>
    <s v="FELIPE VILELLA DE OLIVEIRA ALVES"/>
    <s v="EMERSON DANTAS PEREIR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EMERSON DANTAS PEREIRA"/>
    <m/>
    <s v="Não"/>
    <s v="MATHEUS ARTHUR FACHIN"/>
    <s v="Sim"/>
    <m/>
    <s v="Sim"/>
    <m/>
    <s v="Não"/>
    <m/>
    <s v="FELIPE PIRES SOARES"/>
    <s v="ARTHUR FREITAS CESARINO DOS SANTOS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FELIPE PIRES SOARES"/>
    <m/>
    <s v="Não"/>
    <s v="MATHEUS ARTHUR FACHIN"/>
    <s v="Sim"/>
    <m/>
    <s v="Sim"/>
    <m/>
    <s v="Não"/>
    <m/>
    <s v="DEGEMAR PEREIRA DA SILVA"/>
    <s v="EMERSON DANTAS PEREIR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MOACIR BIELESKI JUNIOR"/>
    <m/>
    <s v="Sim"/>
    <m/>
    <s v="Sim"/>
    <m/>
    <s v="Sim"/>
    <m/>
    <s v="Sim"/>
    <m/>
    <s v="BARBARA CARDOSO DULTRA"/>
    <s v="DEGEMAR PEREIRA DA SILV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RICARDO FELIPE MENDES FERREIRA"/>
    <m/>
    <s v="Sim"/>
    <m/>
    <s v="Sim"/>
    <m/>
    <s v="Sim"/>
    <m/>
    <s v="Sim"/>
    <m/>
    <s v="CAIO TEIXEIRA DE ARAUJO"/>
    <s v="GIORDANO BRUNO BORGES BRAZ DA SILV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VICTOR MAYA NASCIMENTO ALMEIDA"/>
    <m/>
    <s v="Sim"/>
    <m/>
    <s v="Sim"/>
    <m/>
    <s v="Sim"/>
    <m/>
    <s v="Sim"/>
    <m/>
    <s v="MATHEUS SANTOS PEREIRA"/>
    <s v="ALISSON LUAN DA SILV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4:47:00"/>
    <x v="33"/>
    <s v="EVANDRO CARLOS GONCALVES"/>
    <m/>
    <s v="Não"/>
    <s v="LUIS FERNANDO KALIL ROSENBURG DE CASTRO"/>
    <s v="Sim"/>
    <m/>
    <s v="Sim"/>
    <m/>
    <s v="Não"/>
    <m/>
    <s v="RONALDO BRUNO DE SOUZA SANTOS"/>
    <s v="JULIANO ANDRÉ PIEROBOM DE AVILA"/>
    <s v="SIM"/>
    <s v="PEPO-202604091447"/>
    <s v="Segue lista de colaboradores que não estão mais ligados diretamente o projeto CTN Global sob minha gestão. _x000a__x000a_Projeto [Mini App] - Gestão de Ronaldo Bruno_x000a_ - Victor Maya_x000a_ - Matheus Santos_x000a__x000a_Projeto [CTN Brasil] - Gestão de Matheus Fachin_x000a_ - Degemar Pereira_x000a_ - Emerson Dantas_x000a_ - Felipe Pires_x000a_ _x000a_Projeto [Amor Saúde] - Gestão de Eduardo Valentim_x000a_ - Ariel Crivellaro_x000a_ - Alisson Luan_x000a_ - Maria Clara_x000a_ - Ricardo Felipe_x000a_ - Caio Teixeira_x000a_ - Moacir Bieleski_x000a__x000a_Projeto [Dados]_x000a_- Evandro Carlos _x000a__x000a_Em aviso prévio_x000a_ - Juliana Maria "/>
  </r>
  <r>
    <d v="2026-09-04T17:22:00"/>
    <x v="34"/>
    <s v="IVAN WALLACE DA CUNHA CASTANHEIRA"/>
    <m/>
    <s v="Sim"/>
    <m/>
    <s v="Sim"/>
    <m/>
    <s v="Sim"/>
    <m/>
    <s v="Sim"/>
    <m/>
    <s v="BRUNIELE DE JUNIO"/>
    <s v="NADABY HAUANE DOURADO DE OLIVEIRA"/>
    <s v="SIM"/>
    <s v="PEPO-202604091722"/>
    <m/>
  </r>
  <r>
    <d v="2026-09-04T17:22:00"/>
    <x v="34"/>
    <s v="IGOR PAULINELLI NOVAIS"/>
    <m/>
    <s v="Sim"/>
    <m/>
    <s v="Sim"/>
    <m/>
    <s v="Sim"/>
    <m/>
    <s v="Sim"/>
    <m/>
    <s v="BRUNIELE DE JUNIO"/>
    <s v="RAFAELA MOTA MEIRELES DO NASCIMENTO"/>
    <s v="SIM"/>
    <s v="PEPO-202604091722"/>
    <m/>
  </r>
  <r>
    <d v="2026-09-04T17:22:00"/>
    <x v="34"/>
    <s v="BRUNIELE DE JUNIO"/>
    <m/>
    <s v="Sim"/>
    <m/>
    <s v="Sim"/>
    <m/>
    <s v="Sim"/>
    <m/>
    <s v="Sim"/>
    <m/>
    <s v="JOÃO MARIO DE OLIVEIRA FREITAS"/>
    <s v="DENIS SIQUEIRA MOURA"/>
    <s v="SIM"/>
    <s v="PEPO-202604091722"/>
    <m/>
  </r>
  <r>
    <d v="2026-09-04T17:22:00"/>
    <x v="34"/>
    <s v="JOÃO MARIO DE OLIVEIRA FREITAS"/>
    <m/>
    <s v="Sim"/>
    <m/>
    <s v="Sim"/>
    <m/>
    <s v="Sim"/>
    <m/>
    <s v="Sim"/>
    <m/>
    <s v="BRUNIELE DE JUNIO"/>
    <s v="TAILY PEREIRA DE CARVALHO"/>
    <s v="SIM"/>
    <s v="PEPO-202604091722"/>
    <m/>
  </r>
  <r>
    <d v="2026-09-04T17:39:00"/>
    <x v="35"/>
    <s v="AMANDA RIBEIRO JARDIM OLIVEIRA DE SOUZA"/>
    <m/>
    <s v="Sim"/>
    <m/>
    <s v="Sim"/>
    <m/>
    <s v="Sim"/>
    <m/>
    <s v="Sim"/>
    <m/>
    <s v="VICTORIA CAROLINNE SOLANO NOVAIS"/>
    <s v="LORRAYNE CRISTINE THEZA DO CARMO"/>
    <s v="SIM"/>
    <s v="PEPO-202604091739"/>
    <m/>
  </r>
  <r>
    <d v="2026-09-04T17:22:00"/>
    <x v="36"/>
    <s v="VICTOR JOSE ALVES FERNANDES"/>
    <m/>
    <s v="Sim"/>
    <m/>
    <s v="Sim"/>
    <m/>
    <s v="Sim"/>
    <m/>
    <s v="Sim"/>
    <m/>
    <s v="RONALDO BRUNO DE SOUZA SANTOS"/>
    <s v="VINICIUS MIGUEL PEREIRA CUNHA"/>
    <s v="SIM"/>
    <s v="PEPO-202604091722"/>
    <m/>
  </r>
  <r>
    <d v="2026-09-04T17:39:00"/>
    <x v="36"/>
    <s v="VINICIUS MIGUEL PEREIRA CUNHA"/>
    <m/>
    <s v="Sim"/>
    <m/>
    <s v="Sim"/>
    <m/>
    <s v="Sim"/>
    <m/>
    <s v="Sim"/>
    <m/>
    <s v="RONALDO BRUNO DE SOUZA SANTOS"/>
    <s v="VICTOR JOSE ALVES FERNANDES"/>
    <s v="SIM"/>
    <s v="PEPO-202604091739"/>
    <m/>
  </r>
  <r>
    <d v="2026-10-04T09:15:00"/>
    <x v="37"/>
    <s v="ALINE BASSO DE AZEVEDO"/>
    <m/>
    <s v="Sim"/>
    <m/>
    <s v="Sim"/>
    <m/>
    <s v="Sim"/>
    <m/>
    <s v="Sim"/>
    <m/>
    <s v="MICHELE CRISTINA DE SOUZA OLIVEIRA"/>
    <s v="WYNDERSON FERREIRA DIAS"/>
    <s v="SIM"/>
    <s v="PEPO-202604100915"/>
    <m/>
  </r>
  <r>
    <d v="2026-10-04T09:15:00"/>
    <x v="37"/>
    <s v="MICHELE CRISTINA DE SOUZA OLIVEIRA"/>
    <m/>
    <s v="Sim"/>
    <m/>
    <s v="Sim"/>
    <m/>
    <s v="Sim"/>
    <m/>
    <s v="Sim"/>
    <m/>
    <s v="CAROLINE ANDRADE SANTOS BACELAR"/>
    <s v="ALINE BASSO DE AZEVEDO"/>
    <s v="SIM"/>
    <s v="PEPO-202604100915"/>
    <m/>
  </r>
  <r>
    <d v="2026-10-04T09:15:00"/>
    <x v="37"/>
    <s v="WYNDERSON FERREIRA DIAS"/>
    <m/>
    <s v="Sim"/>
    <m/>
    <s v="Sim"/>
    <m/>
    <s v="Sim"/>
    <m/>
    <s v="Sim"/>
    <m/>
    <s v="ALINE BASSO DE AZEVEDO"/>
    <s v="MICHELE CRISTINA DE SOUZA OLIVEIRA"/>
    <s v="SIM"/>
    <s v="PEPO-202604100915"/>
    <m/>
  </r>
  <r>
    <d v="2026-10-04T09:45:00"/>
    <x v="38"/>
    <s v="AMANDA MIRANDA DE CARVALHO"/>
    <m/>
    <s v="Sim"/>
    <m/>
    <s v="Sim"/>
    <m/>
    <s v="Sim"/>
    <m/>
    <s v="Sim"/>
    <m/>
    <s v="ANDRESSA RODRIGUES MORATO MAIA"/>
    <s v="ELISON GLAUBER DE CASTRO"/>
    <s v="SIM"/>
    <s v="PEPO-202604100945"/>
    <m/>
  </r>
  <r>
    <d v="2026-10-04T09:45:00"/>
    <x v="38"/>
    <s v="ANDRESSA RODRIGUES MORATO MAIA"/>
    <m/>
    <s v="Sim"/>
    <m/>
    <s v="Sim"/>
    <m/>
    <s v="Sim"/>
    <m/>
    <s v="Sim"/>
    <m/>
    <s v="ELISON GLAUBER DE CASTRO"/>
    <s v="AMANDA MIRANDA DE CARVALHO"/>
    <s v="SIM"/>
    <s v="PEPO-202604100945"/>
    <m/>
  </r>
  <r>
    <d v="2026-10-04T09:45:00"/>
    <x v="38"/>
    <s v="BRUNO NUNES DE SOUZA SANTOS"/>
    <m/>
    <s v="Sim"/>
    <m/>
    <s v="Sim"/>
    <m/>
    <s v="Sim"/>
    <m/>
    <s v="Sim"/>
    <m/>
    <s v="ELISON GLAUBER DE CASTRO"/>
    <s v="ANDRESSA RODRIGUES MORATO MAIA"/>
    <s v="SIM"/>
    <s v="PEPO-202604100945"/>
    <m/>
  </r>
  <r>
    <d v="2026-10-04T09:45:00"/>
    <x v="38"/>
    <s v="ELISON GLAUBER DE CASTRO"/>
    <m/>
    <s v="Sim"/>
    <m/>
    <s v="Sim"/>
    <m/>
    <s v="Sim"/>
    <m/>
    <s v="Sim"/>
    <m/>
    <s v="AMANDA MIRANDA DE CARVALHO"/>
    <s v="ANDRESSA RODRIGUES MORATO MAIA"/>
    <s v="SIM"/>
    <s v="PEPO-202604100945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9D775F-3AA3-49B7-B8C3-37BF025E281D}" name="TabelaDinâmica1" cacheId="0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>
  <location ref="A2:A42" firstHeaderRow="1" firstDataRow="1" firstDataCol="1"/>
  <pivotFields count="17">
    <pivotField compact="0" outline="0" showAll="0"/>
    <pivotField axis="axisRow" compact="0" outline="0" showAll="0">
      <items count="46">
        <item x="0"/>
        <item m="1" x="40"/>
        <item x="28"/>
        <item x="4"/>
        <item x="35"/>
        <item m="1" x="42"/>
        <item m="1" x="43"/>
        <item m="1" x="44"/>
        <item x="6"/>
        <item m="1" x="39"/>
        <item m="1" x="41"/>
        <item x="37"/>
        <item x="1"/>
        <item x="2"/>
        <item x="3"/>
        <item x="5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9"/>
        <item x="30"/>
        <item x="31"/>
        <item x="32"/>
        <item x="33"/>
        <item x="34"/>
        <item x="36"/>
        <item x="3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"/>
  </rowFields>
  <rowItems count="40">
    <i>
      <x/>
    </i>
    <i>
      <x v="2"/>
    </i>
    <i>
      <x v="3"/>
    </i>
    <i>
      <x v="4"/>
    </i>
    <i>
      <x v="8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Funcionarios" displayName="TabelaFuncionarios" ref="A1:I288" totalsRowShown="0" headerRowDxfId="18" dataDxfId="17">
  <autoFilter ref="A1:I288" xr:uid="{00000000-0009-0000-0100-000001000000}"/>
  <tableColumns count="9">
    <tableColumn id="1" xr3:uid="{00000000-0010-0000-0000-000001000000}" name="Gestor Avaliador" dataDxfId="16"/>
    <tableColumn id="2" xr3:uid="{00000000-0010-0000-0000-000002000000}" name="Gestor Validador" dataDxfId="15"/>
    <tableColumn id="3" xr3:uid="{00000000-0010-0000-0000-000003000000}" name="ID" dataDxfId="14"/>
    <tableColumn id="4" xr3:uid="{00000000-0010-0000-0000-000004000000}" name="Matrícula" dataDxfId="13"/>
    <tableColumn id="5" xr3:uid="{00000000-0010-0000-0000-000005000000}" name="Nome" dataDxfId="12"/>
    <tableColumn id="6" xr3:uid="{00000000-0010-0000-0000-000006000000}" name="Cargo" dataDxfId="11"/>
    <tableColumn id="7" xr3:uid="{00000000-0010-0000-0000-000007000000}" name="Unidade" dataDxfId="10"/>
    <tableColumn id="8" xr3:uid="{00000000-0010-0000-0000-000008000000}" name="Departamento" dataDxfId="9"/>
    <tableColumn id="9" xr3:uid="{00000000-0010-0000-0000-000009000000}" name="Data de admissão" dataDxfId="8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5682380-8C80-41AF-B908-EF95603075AF}" name="TabelaRespostas" displayName="TabelaRespostas" ref="A1:Q197" totalsRowShown="0" headerRowDxfId="7" headerRowBorderDxfId="6" tableBorderDxfId="5">
  <autoFilter ref="A1:Q197" xr:uid="{A5682380-8C80-41AF-B908-EF95603075AF}"/>
  <tableColumns count="17">
    <tableColumn id="1" xr3:uid="{CFF5932B-854B-4B23-A01A-04BA6982E294}" name="Momento do Envio"/>
    <tableColumn id="2" xr3:uid="{9A82702E-3CB5-486A-B49B-3CBF2D1B5744}" name="Nome do Gestor"/>
    <tableColumn id="3" xr3:uid="{15330415-ADF2-4758-8694-FD7A376B81D4}" name="Funcionário Avaliado"/>
    <tableColumn id="4" xr3:uid="{594E5835-552B-4D6E-A822-81B896CFAF13}" name="ID"/>
    <tableColumn id="5" xr3:uid="{7F5AB4D9-45E8-46BC-B411-788B139EE062}" name="Gestor Correto?"/>
    <tableColumn id="14" xr3:uid="{6B9D9653-6673-4CC6-90AD-CF40C644B8FE}" name="Novo Gestor" dataDxfId="4"/>
    <tableColumn id="6" xr3:uid="{C5062DFD-1E5B-4585-8B3D-D5D926B5E2B4}" name="Cargo Correto?"/>
    <tableColumn id="15" xr3:uid="{707FD308-5DC8-456C-87E0-1C1C71076AD0}" name="Novo Cargo" dataDxfId="3"/>
    <tableColumn id="7" xr3:uid="{23F4A278-6130-4156-B2C6-092BB614E4A9}" name="Unidade Correta?"/>
    <tableColumn id="16" xr3:uid="{B1691D3F-F123-42C6-A2B6-E169F7E0C857}" name="Nova Unidade" dataDxfId="2"/>
    <tableColumn id="8" xr3:uid="{2FF534DC-1CF1-4C48-B7C4-CAF3960253B8}" name="Departamento Correto?"/>
    <tableColumn id="17" xr3:uid="{A89472CB-3BFB-45F5-AB02-1F4A971F64C0}" name="Novo Depto" dataDxfId="1"/>
    <tableColumn id="9" xr3:uid="{D960B0AB-147E-49C9-81F6-3A62815C92D5}" name="Par 1"/>
    <tableColumn id="10" xr3:uid="{A24B24E4-1150-4A03-93C9-672C68A1D0C8}" name="Par 2"/>
    <tableColumn id="11" xr3:uid="{5AFF58B5-A998-4A5A-9F0A-A92C2CDE82B2}" name="status_resposta" dataDxfId="0">
      <calculatedColumnFormula>IF(TabelaRespostas[[#This Row],[Momento do Envio]]&gt;=1,"SIM","NÃO")</calculatedColumnFormula>
    </tableColumn>
    <tableColumn id="12" xr3:uid="{532FFC7B-A440-4E0F-AF70-FBD92751D24E}" name="Protocolo"/>
    <tableColumn id="13" xr3:uid="{CA19CA8F-BE2B-4CA3-802D-B66093842976}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88"/>
  <sheetViews>
    <sheetView tabSelected="1" zoomScale="90" zoomScaleNormal="90" workbookViewId="0">
      <selection activeCell="C18" sqref="C18"/>
    </sheetView>
  </sheetViews>
  <sheetFormatPr defaultRowHeight="14.4" x14ac:dyDescent="0.3"/>
  <cols>
    <col min="1" max="1" width="49.88671875" bestFit="1" customWidth="1"/>
    <col min="2" max="2" width="43.5546875" hidden="1" customWidth="1"/>
    <col min="3" max="3" width="8.6640625" customWidth="1"/>
    <col min="4" max="4" width="12" style="2" customWidth="1"/>
    <col min="5" max="5" width="47.6640625" bestFit="1" customWidth="1"/>
    <col min="6" max="6" width="60.33203125" bestFit="1" customWidth="1"/>
    <col min="7" max="7" width="26.5546875" bestFit="1" customWidth="1"/>
    <col min="8" max="8" width="38.6640625" customWidth="1"/>
    <col min="9" max="9" width="16.33203125" style="1" bestFit="1" customWidth="1"/>
  </cols>
  <sheetData>
    <row r="1" spans="1:9" x14ac:dyDescent="0.3">
      <c r="A1" s="3" t="s">
        <v>0</v>
      </c>
      <c r="B1" s="3" t="s">
        <v>1</v>
      </c>
      <c r="C1" s="3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1" t="s">
        <v>8</v>
      </c>
    </row>
    <row r="2" spans="1:9" x14ac:dyDescent="0.3">
      <c r="A2" s="8" t="s">
        <v>9</v>
      </c>
      <c r="B2" s="8" t="s">
        <v>9</v>
      </c>
      <c r="C2" s="8" t="s">
        <v>10</v>
      </c>
      <c r="D2" s="8">
        <v>766</v>
      </c>
      <c r="E2" s="8" t="s">
        <v>11</v>
      </c>
      <c r="F2" s="8" t="s">
        <v>12</v>
      </c>
      <c r="G2" s="8" t="s">
        <v>13</v>
      </c>
      <c r="H2" s="8" t="s">
        <v>14</v>
      </c>
      <c r="I2" s="9">
        <v>45551</v>
      </c>
    </row>
    <row r="3" spans="1:9" x14ac:dyDescent="0.3">
      <c r="A3" s="8" t="s">
        <v>9</v>
      </c>
      <c r="B3" s="8" t="s">
        <v>9</v>
      </c>
      <c r="C3" s="8" t="s">
        <v>15</v>
      </c>
      <c r="D3" s="8">
        <v>911</v>
      </c>
      <c r="E3" s="8" t="s">
        <v>16</v>
      </c>
      <c r="F3" s="8" t="s">
        <v>12</v>
      </c>
      <c r="G3" s="8" t="s">
        <v>13</v>
      </c>
      <c r="H3" s="8" t="s">
        <v>14</v>
      </c>
      <c r="I3" s="9">
        <v>45887</v>
      </c>
    </row>
    <row r="4" spans="1:9" x14ac:dyDescent="0.3">
      <c r="A4" s="8" t="s">
        <v>9</v>
      </c>
      <c r="B4" s="8" t="s">
        <v>9</v>
      </c>
      <c r="C4" s="8" t="s">
        <v>17</v>
      </c>
      <c r="D4" s="8">
        <v>855</v>
      </c>
      <c r="E4" s="8" t="s">
        <v>18</v>
      </c>
      <c r="F4" s="8" t="s">
        <v>12</v>
      </c>
      <c r="G4" s="8" t="s">
        <v>13</v>
      </c>
      <c r="H4" s="8" t="s">
        <v>14</v>
      </c>
      <c r="I4" s="9">
        <v>45761</v>
      </c>
    </row>
    <row r="5" spans="1:9" x14ac:dyDescent="0.3">
      <c r="A5" s="8" t="s">
        <v>9</v>
      </c>
      <c r="B5" s="8" t="s">
        <v>9</v>
      </c>
      <c r="C5" s="8" t="s">
        <v>19</v>
      </c>
      <c r="D5" s="8">
        <v>373</v>
      </c>
      <c r="E5" s="8" t="s">
        <v>20</v>
      </c>
      <c r="F5" s="8" t="s">
        <v>12</v>
      </c>
      <c r="G5" s="8" t="s">
        <v>13</v>
      </c>
      <c r="H5" s="8" t="s">
        <v>14</v>
      </c>
      <c r="I5" s="9">
        <v>44249</v>
      </c>
    </row>
    <row r="6" spans="1:9" x14ac:dyDescent="0.3">
      <c r="A6" s="8" t="s">
        <v>9</v>
      </c>
      <c r="B6" s="8" t="s">
        <v>9</v>
      </c>
      <c r="C6" s="8" t="s">
        <v>21</v>
      </c>
      <c r="D6" s="8">
        <v>528</v>
      </c>
      <c r="E6" s="8" t="s">
        <v>22</v>
      </c>
      <c r="F6" s="8" t="s">
        <v>12</v>
      </c>
      <c r="G6" s="8" t="s">
        <v>13</v>
      </c>
      <c r="H6" s="8" t="s">
        <v>14</v>
      </c>
      <c r="I6" s="9">
        <v>44830</v>
      </c>
    </row>
    <row r="7" spans="1:9" x14ac:dyDescent="0.3">
      <c r="A7" s="8" t="s">
        <v>9</v>
      </c>
      <c r="B7" s="8" t="s">
        <v>9</v>
      </c>
      <c r="C7" s="8" t="s">
        <v>23</v>
      </c>
      <c r="D7" s="8">
        <v>579</v>
      </c>
      <c r="E7" s="8" t="s">
        <v>24</v>
      </c>
      <c r="F7" s="8" t="s">
        <v>12</v>
      </c>
      <c r="G7" s="8" t="s">
        <v>13</v>
      </c>
      <c r="H7" s="8" t="s">
        <v>14</v>
      </c>
      <c r="I7" s="9">
        <v>44958</v>
      </c>
    </row>
    <row r="8" spans="1:9" x14ac:dyDescent="0.3">
      <c r="A8" s="8" t="s">
        <v>9</v>
      </c>
      <c r="B8" s="8" t="s">
        <v>9</v>
      </c>
      <c r="C8" s="8" t="s">
        <v>25</v>
      </c>
      <c r="D8" s="8">
        <v>726</v>
      </c>
      <c r="E8" s="8" t="s">
        <v>26</v>
      </c>
      <c r="F8" s="8" t="s">
        <v>12</v>
      </c>
      <c r="G8" s="8" t="s">
        <v>13</v>
      </c>
      <c r="H8" s="8" t="s">
        <v>14</v>
      </c>
      <c r="I8" s="9">
        <v>45460</v>
      </c>
    </row>
    <row r="9" spans="1:9" x14ac:dyDescent="0.3">
      <c r="A9" s="8" t="s">
        <v>9</v>
      </c>
      <c r="B9" s="8" t="s">
        <v>9</v>
      </c>
      <c r="C9" s="8" t="s">
        <v>27</v>
      </c>
      <c r="D9" s="8">
        <v>841</v>
      </c>
      <c r="E9" s="8" t="s">
        <v>28</v>
      </c>
      <c r="F9" s="8" t="s">
        <v>12</v>
      </c>
      <c r="G9" s="8" t="s">
        <v>13</v>
      </c>
      <c r="H9" s="8" t="s">
        <v>14</v>
      </c>
      <c r="I9" s="9">
        <v>44292</v>
      </c>
    </row>
    <row r="10" spans="1:9" x14ac:dyDescent="0.3">
      <c r="A10" s="8" t="s">
        <v>29</v>
      </c>
      <c r="B10" s="8" t="s">
        <v>30</v>
      </c>
      <c r="C10" s="8" t="s">
        <v>31</v>
      </c>
      <c r="D10" s="10" t="s">
        <v>32</v>
      </c>
      <c r="E10" s="8" t="s">
        <v>33</v>
      </c>
      <c r="F10" s="8" t="s">
        <v>34</v>
      </c>
      <c r="G10" s="8" t="s">
        <v>35</v>
      </c>
      <c r="H10" s="8" t="s">
        <v>36</v>
      </c>
      <c r="I10" s="9">
        <v>45839</v>
      </c>
    </row>
    <row r="11" spans="1:9" x14ac:dyDescent="0.3">
      <c r="A11" s="8" t="s">
        <v>29</v>
      </c>
      <c r="B11" s="8" t="s">
        <v>30</v>
      </c>
      <c r="C11" s="8" t="s">
        <v>37</v>
      </c>
      <c r="D11" s="8">
        <v>180</v>
      </c>
      <c r="E11" s="8" t="s">
        <v>38</v>
      </c>
      <c r="F11" s="8" t="s">
        <v>34</v>
      </c>
      <c r="G11" s="8" t="s">
        <v>35</v>
      </c>
      <c r="H11" s="8" t="s">
        <v>39</v>
      </c>
      <c r="I11" s="9">
        <v>42381</v>
      </c>
    </row>
    <row r="12" spans="1:9" x14ac:dyDescent="0.3">
      <c r="A12" s="8" t="s">
        <v>29</v>
      </c>
      <c r="B12" s="8" t="s">
        <v>30</v>
      </c>
      <c r="C12" s="8" t="s">
        <v>40</v>
      </c>
      <c r="D12" s="8">
        <v>314</v>
      </c>
      <c r="E12" s="8" t="s">
        <v>41</v>
      </c>
      <c r="F12" s="8" t="s">
        <v>42</v>
      </c>
      <c r="G12" s="8" t="s">
        <v>35</v>
      </c>
      <c r="H12" s="8" t="s">
        <v>43</v>
      </c>
      <c r="I12" s="9">
        <v>43605</v>
      </c>
    </row>
    <row r="13" spans="1:9" x14ac:dyDescent="0.3">
      <c r="A13" s="8" t="s">
        <v>29</v>
      </c>
      <c r="B13" s="8" t="s">
        <v>30</v>
      </c>
      <c r="C13" s="8" t="s">
        <v>44</v>
      </c>
      <c r="D13" s="8">
        <v>725</v>
      </c>
      <c r="E13" s="8" t="s">
        <v>45</v>
      </c>
      <c r="F13" s="8" t="s">
        <v>46</v>
      </c>
      <c r="G13" s="8" t="s">
        <v>35</v>
      </c>
      <c r="H13" s="8" t="s">
        <v>47</v>
      </c>
      <c r="I13" s="9">
        <v>45460</v>
      </c>
    </row>
    <row r="14" spans="1:9" x14ac:dyDescent="0.3">
      <c r="A14" s="8" t="s">
        <v>48</v>
      </c>
      <c r="B14" s="8" t="s">
        <v>48</v>
      </c>
      <c r="C14" s="8" t="s">
        <v>49</v>
      </c>
      <c r="D14" s="8">
        <v>139</v>
      </c>
      <c r="E14" s="8" t="s">
        <v>50</v>
      </c>
      <c r="F14" s="8" t="s">
        <v>51</v>
      </c>
      <c r="G14" s="8" t="s">
        <v>35</v>
      </c>
      <c r="H14" s="8" t="s">
        <v>52</v>
      </c>
      <c r="I14" s="9">
        <v>41582</v>
      </c>
    </row>
    <row r="15" spans="1:9" x14ac:dyDescent="0.3">
      <c r="A15" s="8" t="s">
        <v>48</v>
      </c>
      <c r="B15" s="8" t="s">
        <v>48</v>
      </c>
      <c r="C15" s="8" t="s">
        <v>53</v>
      </c>
      <c r="D15" s="8">
        <v>101</v>
      </c>
      <c r="E15" s="8" t="s">
        <v>54</v>
      </c>
      <c r="F15" s="8" t="s">
        <v>51</v>
      </c>
      <c r="G15" s="8" t="s">
        <v>35</v>
      </c>
      <c r="H15" s="8" t="s">
        <v>52</v>
      </c>
      <c r="I15" s="9">
        <v>39203</v>
      </c>
    </row>
    <row r="16" spans="1:9" x14ac:dyDescent="0.3">
      <c r="A16" s="8" t="s">
        <v>48</v>
      </c>
      <c r="B16" s="8" t="s">
        <v>48</v>
      </c>
      <c r="C16" s="8" t="s">
        <v>55</v>
      </c>
      <c r="D16" s="10" t="s">
        <v>56</v>
      </c>
      <c r="E16" s="8" t="s">
        <v>57</v>
      </c>
      <c r="F16" s="8" t="s">
        <v>58</v>
      </c>
      <c r="G16" s="8" t="s">
        <v>59</v>
      </c>
      <c r="H16" s="8" t="s">
        <v>60</v>
      </c>
      <c r="I16" s="9">
        <v>44636</v>
      </c>
    </row>
    <row r="17" spans="1:9" x14ac:dyDescent="0.3">
      <c r="A17" s="8" t="s">
        <v>48</v>
      </c>
      <c r="B17" s="8" t="s">
        <v>48</v>
      </c>
      <c r="C17" s="8" t="s">
        <v>61</v>
      </c>
      <c r="D17" s="8">
        <v>207</v>
      </c>
      <c r="E17" s="8" t="s">
        <v>62</v>
      </c>
      <c r="F17" s="8" t="s">
        <v>63</v>
      </c>
      <c r="G17" s="8" t="s">
        <v>35</v>
      </c>
      <c r="H17" s="8" t="s">
        <v>52</v>
      </c>
      <c r="I17" s="9">
        <v>42522</v>
      </c>
    </row>
    <row r="18" spans="1:9" x14ac:dyDescent="0.3">
      <c r="A18" s="8" t="s">
        <v>48</v>
      </c>
      <c r="B18" s="8" t="s">
        <v>48</v>
      </c>
      <c r="C18" s="8" t="s">
        <v>65</v>
      </c>
      <c r="D18" s="10" t="s">
        <v>66</v>
      </c>
      <c r="E18" s="8" t="s">
        <v>67</v>
      </c>
      <c r="F18" s="8" t="s">
        <v>68</v>
      </c>
      <c r="G18" s="8" t="s">
        <v>35</v>
      </c>
      <c r="H18" s="8" t="s">
        <v>52</v>
      </c>
      <c r="I18" s="9">
        <v>36527</v>
      </c>
    </row>
    <row r="19" spans="1:9" x14ac:dyDescent="0.3">
      <c r="A19" s="8" t="s">
        <v>48</v>
      </c>
      <c r="B19" s="8" t="s">
        <v>48</v>
      </c>
      <c r="C19" s="8" t="s">
        <v>69</v>
      </c>
      <c r="D19" s="10" t="s">
        <v>70</v>
      </c>
      <c r="E19" s="8" t="s">
        <v>64</v>
      </c>
      <c r="F19" s="8" t="s">
        <v>68</v>
      </c>
      <c r="G19" s="8" t="s">
        <v>35</v>
      </c>
      <c r="H19" s="8" t="s">
        <v>52</v>
      </c>
      <c r="I19" s="9">
        <v>43823</v>
      </c>
    </row>
    <row r="20" spans="1:9" x14ac:dyDescent="0.3">
      <c r="A20" s="8" t="s">
        <v>71</v>
      </c>
      <c r="B20" s="8" t="s">
        <v>71</v>
      </c>
      <c r="C20" s="8" t="s">
        <v>72</v>
      </c>
      <c r="D20" s="8">
        <v>649</v>
      </c>
      <c r="E20" s="8" t="s">
        <v>73</v>
      </c>
      <c r="F20" s="8" t="s">
        <v>74</v>
      </c>
      <c r="G20" s="8" t="s">
        <v>35</v>
      </c>
      <c r="H20" s="8" t="s">
        <v>75</v>
      </c>
      <c r="I20" s="9">
        <v>45117</v>
      </c>
    </row>
    <row r="21" spans="1:9" x14ac:dyDescent="0.3">
      <c r="A21" s="8" t="s">
        <v>71</v>
      </c>
      <c r="B21" s="8" t="s">
        <v>71</v>
      </c>
      <c r="C21" s="8" t="s">
        <v>76</v>
      </c>
      <c r="D21" s="8">
        <v>676</v>
      </c>
      <c r="E21" s="8" t="s">
        <v>77</v>
      </c>
      <c r="F21" s="8" t="s">
        <v>78</v>
      </c>
      <c r="G21" s="8" t="s">
        <v>35</v>
      </c>
      <c r="H21" s="8" t="s">
        <v>75</v>
      </c>
      <c r="I21" s="9">
        <v>45337</v>
      </c>
    </row>
    <row r="22" spans="1:9" x14ac:dyDescent="0.3">
      <c r="A22" s="8" t="s">
        <v>71</v>
      </c>
      <c r="B22" s="8" t="s">
        <v>71</v>
      </c>
      <c r="C22" s="8" t="s">
        <v>79</v>
      </c>
      <c r="D22" s="10" t="s">
        <v>80</v>
      </c>
      <c r="E22" s="8" t="s">
        <v>81</v>
      </c>
      <c r="F22" s="8" t="s">
        <v>78</v>
      </c>
      <c r="G22" s="8" t="s">
        <v>35</v>
      </c>
      <c r="H22" s="8" t="s">
        <v>75</v>
      </c>
      <c r="I22" s="9">
        <v>45887</v>
      </c>
    </row>
    <row r="23" spans="1:9" x14ac:dyDescent="0.3">
      <c r="A23" s="8" t="s">
        <v>82</v>
      </c>
      <c r="B23" s="8" t="s">
        <v>82</v>
      </c>
      <c r="C23" s="8" t="s">
        <v>83</v>
      </c>
      <c r="D23" s="8">
        <v>901</v>
      </c>
      <c r="E23" s="8" t="s">
        <v>84</v>
      </c>
      <c r="F23" s="8" t="s">
        <v>12</v>
      </c>
      <c r="G23" s="8" t="s">
        <v>13</v>
      </c>
      <c r="H23" s="8" t="s">
        <v>85</v>
      </c>
      <c r="I23" s="9">
        <v>45873</v>
      </c>
    </row>
    <row r="24" spans="1:9" x14ac:dyDescent="0.3">
      <c r="A24" s="8" t="s">
        <v>82</v>
      </c>
      <c r="B24" s="8" t="s">
        <v>82</v>
      </c>
      <c r="C24" s="8" t="s">
        <v>86</v>
      </c>
      <c r="D24" s="8">
        <v>942</v>
      </c>
      <c r="E24" s="8" t="s">
        <v>87</v>
      </c>
      <c r="F24" s="8" t="s">
        <v>12</v>
      </c>
      <c r="G24" s="8" t="s">
        <v>13</v>
      </c>
      <c r="H24" s="8" t="s">
        <v>85</v>
      </c>
      <c r="I24" s="9">
        <v>45978</v>
      </c>
    </row>
    <row r="25" spans="1:9" x14ac:dyDescent="0.3">
      <c r="A25" s="8" t="s">
        <v>82</v>
      </c>
      <c r="B25" s="8" t="s">
        <v>82</v>
      </c>
      <c r="C25" s="8" t="s">
        <v>88</v>
      </c>
      <c r="D25" s="8">
        <v>495</v>
      </c>
      <c r="E25" s="8" t="s">
        <v>89</v>
      </c>
      <c r="F25" s="8" t="s">
        <v>12</v>
      </c>
      <c r="G25" s="8" t="s">
        <v>13</v>
      </c>
      <c r="H25" s="8" t="s">
        <v>85</v>
      </c>
      <c r="I25" s="9">
        <v>44720</v>
      </c>
    </row>
    <row r="26" spans="1:9" x14ac:dyDescent="0.3">
      <c r="A26" s="8" t="s">
        <v>82</v>
      </c>
      <c r="B26" s="8" t="s">
        <v>82</v>
      </c>
      <c r="C26" s="8" t="s">
        <v>90</v>
      </c>
      <c r="D26" s="8">
        <v>904</v>
      </c>
      <c r="E26" s="8" t="s">
        <v>91</v>
      </c>
      <c r="F26" s="8" t="s">
        <v>12</v>
      </c>
      <c r="G26" s="8" t="s">
        <v>13</v>
      </c>
      <c r="H26" s="8" t="s">
        <v>85</v>
      </c>
      <c r="I26" s="9">
        <v>45873</v>
      </c>
    </row>
    <row r="27" spans="1:9" x14ac:dyDescent="0.3">
      <c r="A27" s="8" t="s">
        <v>82</v>
      </c>
      <c r="B27" s="8" t="s">
        <v>82</v>
      </c>
      <c r="C27" s="8" t="s">
        <v>92</v>
      </c>
      <c r="D27" s="8">
        <v>896</v>
      </c>
      <c r="E27" s="8" t="s">
        <v>93</v>
      </c>
      <c r="F27" s="8" t="s">
        <v>12</v>
      </c>
      <c r="G27" s="8" t="s">
        <v>13</v>
      </c>
      <c r="H27" s="8" t="s">
        <v>85</v>
      </c>
      <c r="I27" s="9">
        <v>45852</v>
      </c>
    </row>
    <row r="28" spans="1:9" x14ac:dyDescent="0.3">
      <c r="A28" s="8" t="s">
        <v>82</v>
      </c>
      <c r="B28" s="8" t="s">
        <v>82</v>
      </c>
      <c r="C28" s="8" t="s">
        <v>94</v>
      </c>
      <c r="D28" s="8">
        <v>854</v>
      </c>
      <c r="E28" s="8" t="s">
        <v>95</v>
      </c>
      <c r="F28" s="8" t="s">
        <v>12</v>
      </c>
      <c r="G28" s="8" t="s">
        <v>13</v>
      </c>
      <c r="H28" s="8" t="s">
        <v>85</v>
      </c>
      <c r="I28" s="9">
        <v>45721</v>
      </c>
    </row>
    <row r="29" spans="1:9" x14ac:dyDescent="0.3">
      <c r="A29" s="8" t="s">
        <v>82</v>
      </c>
      <c r="B29" s="8" t="s">
        <v>82</v>
      </c>
      <c r="C29" s="8" t="s">
        <v>96</v>
      </c>
      <c r="D29" s="8">
        <v>850</v>
      </c>
      <c r="E29" s="8" t="s">
        <v>97</v>
      </c>
      <c r="F29" s="8" t="s">
        <v>12</v>
      </c>
      <c r="G29" s="8" t="s">
        <v>13</v>
      </c>
      <c r="H29" s="8" t="s">
        <v>85</v>
      </c>
      <c r="I29" s="9">
        <v>45722</v>
      </c>
    </row>
    <row r="30" spans="1:9" x14ac:dyDescent="0.3">
      <c r="A30" s="8" t="s">
        <v>82</v>
      </c>
      <c r="B30" s="8" t="s">
        <v>82</v>
      </c>
      <c r="C30" s="8" t="s">
        <v>98</v>
      </c>
      <c r="D30" s="8">
        <v>849</v>
      </c>
      <c r="E30" s="8" t="s">
        <v>99</v>
      </c>
      <c r="F30" s="8" t="s">
        <v>12</v>
      </c>
      <c r="G30" s="8" t="s">
        <v>13</v>
      </c>
      <c r="H30" s="8" t="s">
        <v>85</v>
      </c>
      <c r="I30" s="9">
        <v>45722</v>
      </c>
    </row>
    <row r="31" spans="1:9" x14ac:dyDescent="0.3">
      <c r="A31" s="8" t="s">
        <v>82</v>
      </c>
      <c r="B31" s="8" t="s">
        <v>82</v>
      </c>
      <c r="C31" s="8" t="s">
        <v>100</v>
      </c>
      <c r="D31" s="8">
        <v>670</v>
      </c>
      <c r="E31" s="8" t="s">
        <v>101</v>
      </c>
      <c r="F31" s="8" t="s">
        <v>12</v>
      </c>
      <c r="G31" s="8" t="s">
        <v>13</v>
      </c>
      <c r="H31" s="8" t="s">
        <v>85</v>
      </c>
      <c r="I31" s="9">
        <v>45313</v>
      </c>
    </row>
    <row r="32" spans="1:9" x14ac:dyDescent="0.3">
      <c r="A32" s="8" t="s">
        <v>82</v>
      </c>
      <c r="B32" s="8" t="s">
        <v>82</v>
      </c>
      <c r="C32" s="8" t="s">
        <v>102</v>
      </c>
      <c r="D32" s="8">
        <v>863</v>
      </c>
      <c r="E32" s="8" t="s">
        <v>103</v>
      </c>
      <c r="F32" s="8" t="s">
        <v>12</v>
      </c>
      <c r="G32" s="8" t="s">
        <v>13</v>
      </c>
      <c r="H32" s="8" t="s">
        <v>85</v>
      </c>
      <c r="I32" s="9">
        <v>45761</v>
      </c>
    </row>
    <row r="33" spans="1:9" x14ac:dyDescent="0.3">
      <c r="A33" s="8" t="s">
        <v>104</v>
      </c>
      <c r="B33" s="8" t="s">
        <v>105</v>
      </c>
      <c r="C33" s="8" t="s">
        <v>106</v>
      </c>
      <c r="D33" s="8">
        <v>370</v>
      </c>
      <c r="E33" s="8" t="s">
        <v>107</v>
      </c>
      <c r="F33" s="8" t="s">
        <v>108</v>
      </c>
      <c r="G33" s="8" t="s">
        <v>109</v>
      </c>
      <c r="H33" s="8" t="s">
        <v>110</v>
      </c>
      <c r="I33" s="9">
        <v>44228</v>
      </c>
    </row>
    <row r="34" spans="1:9" x14ac:dyDescent="0.3">
      <c r="A34" s="8" t="s">
        <v>111</v>
      </c>
      <c r="B34" s="8" t="s">
        <v>112</v>
      </c>
      <c r="C34" s="8" t="s">
        <v>113</v>
      </c>
      <c r="D34" s="8">
        <v>680</v>
      </c>
      <c r="E34" s="8" t="s">
        <v>114</v>
      </c>
      <c r="F34" s="8" t="s">
        <v>74</v>
      </c>
      <c r="G34" s="8" t="s">
        <v>35</v>
      </c>
      <c r="H34" s="8" t="s">
        <v>115</v>
      </c>
      <c r="I34" s="9">
        <v>45414</v>
      </c>
    </row>
    <row r="35" spans="1:9" x14ac:dyDescent="0.3">
      <c r="A35" s="8" t="s">
        <v>111</v>
      </c>
      <c r="B35" s="8" t="s">
        <v>112</v>
      </c>
      <c r="C35" s="8" t="s">
        <v>116</v>
      </c>
      <c r="D35" s="8">
        <v>742</v>
      </c>
      <c r="E35" s="8" t="s">
        <v>117</v>
      </c>
      <c r="F35" s="8" t="s">
        <v>74</v>
      </c>
      <c r="G35" s="8" t="s">
        <v>35</v>
      </c>
      <c r="H35" s="8" t="s">
        <v>115</v>
      </c>
      <c r="I35" s="9">
        <v>45505</v>
      </c>
    </row>
    <row r="36" spans="1:9" x14ac:dyDescent="0.3">
      <c r="A36" s="8" t="s">
        <v>111</v>
      </c>
      <c r="B36" s="8" t="s">
        <v>112</v>
      </c>
      <c r="C36" s="8" t="s">
        <v>118</v>
      </c>
      <c r="D36" s="10" t="s">
        <v>119</v>
      </c>
      <c r="E36" s="8" t="s">
        <v>120</v>
      </c>
      <c r="F36" s="8" t="s">
        <v>78</v>
      </c>
      <c r="G36" s="8" t="s">
        <v>35</v>
      </c>
      <c r="H36" s="8" t="s">
        <v>115</v>
      </c>
      <c r="I36" s="9">
        <v>45810</v>
      </c>
    </row>
    <row r="37" spans="1:9" x14ac:dyDescent="0.3">
      <c r="A37" s="8" t="s">
        <v>111</v>
      </c>
      <c r="B37" s="8" t="s">
        <v>112</v>
      </c>
      <c r="C37" s="8" t="s">
        <v>121</v>
      </c>
      <c r="D37" s="10" t="s">
        <v>122</v>
      </c>
      <c r="E37" s="8" t="s">
        <v>123</v>
      </c>
      <c r="F37" s="8" t="s">
        <v>124</v>
      </c>
      <c r="G37" s="8" t="s">
        <v>35</v>
      </c>
      <c r="H37" s="8" t="s">
        <v>115</v>
      </c>
      <c r="I37" s="9">
        <v>45992</v>
      </c>
    </row>
    <row r="38" spans="1:9" x14ac:dyDescent="0.3">
      <c r="A38" s="8" t="s">
        <v>111</v>
      </c>
      <c r="B38" s="8" t="s">
        <v>112</v>
      </c>
      <c r="C38" s="8" t="s">
        <v>125</v>
      </c>
      <c r="D38" s="8">
        <v>948</v>
      </c>
      <c r="E38" s="8" t="s">
        <v>126</v>
      </c>
      <c r="F38" s="8" t="s">
        <v>127</v>
      </c>
      <c r="G38" s="8" t="s">
        <v>35</v>
      </c>
      <c r="H38" s="8" t="s">
        <v>128</v>
      </c>
      <c r="I38" s="9">
        <v>45978</v>
      </c>
    </row>
    <row r="39" spans="1:9" x14ac:dyDescent="0.3">
      <c r="A39" s="8" t="s">
        <v>111</v>
      </c>
      <c r="B39" s="8" t="s">
        <v>112</v>
      </c>
      <c r="C39" s="8" t="s">
        <v>129</v>
      </c>
      <c r="D39" s="8">
        <v>946</v>
      </c>
      <c r="E39" s="8" t="s">
        <v>130</v>
      </c>
      <c r="F39" s="8" t="s">
        <v>127</v>
      </c>
      <c r="G39" s="8" t="s">
        <v>35</v>
      </c>
      <c r="H39" s="8" t="s">
        <v>128</v>
      </c>
      <c r="I39" s="9">
        <v>45978</v>
      </c>
    </row>
    <row r="40" spans="1:9" x14ac:dyDescent="0.3">
      <c r="A40" s="8" t="s">
        <v>111</v>
      </c>
      <c r="B40" s="8" t="s">
        <v>112</v>
      </c>
      <c r="C40" s="8" t="s">
        <v>131</v>
      </c>
      <c r="D40" s="8">
        <v>949</v>
      </c>
      <c r="E40" s="8" t="s">
        <v>132</v>
      </c>
      <c r="F40" s="8" t="s">
        <v>127</v>
      </c>
      <c r="G40" s="8" t="s">
        <v>35</v>
      </c>
      <c r="H40" s="8" t="s">
        <v>128</v>
      </c>
      <c r="I40" s="9">
        <v>45978</v>
      </c>
    </row>
    <row r="41" spans="1:9" x14ac:dyDescent="0.3">
      <c r="A41" s="8" t="s">
        <v>111</v>
      </c>
      <c r="B41" s="8" t="s">
        <v>112</v>
      </c>
      <c r="C41" s="8" t="s">
        <v>133</v>
      </c>
      <c r="D41" s="8">
        <v>947</v>
      </c>
      <c r="E41" s="8" t="s">
        <v>134</v>
      </c>
      <c r="F41" s="8" t="s">
        <v>127</v>
      </c>
      <c r="G41" s="8" t="s">
        <v>35</v>
      </c>
      <c r="H41" s="8" t="s">
        <v>128</v>
      </c>
      <c r="I41" s="9">
        <v>45978</v>
      </c>
    </row>
    <row r="42" spans="1:9" x14ac:dyDescent="0.3">
      <c r="A42" s="8" t="s">
        <v>111</v>
      </c>
      <c r="B42" s="8" t="s">
        <v>112</v>
      </c>
      <c r="C42" s="8" t="s">
        <v>135</v>
      </c>
      <c r="D42" s="8">
        <v>945</v>
      </c>
      <c r="E42" s="8" t="s">
        <v>136</v>
      </c>
      <c r="F42" s="8" t="s">
        <v>127</v>
      </c>
      <c r="G42" s="8" t="s">
        <v>35</v>
      </c>
      <c r="H42" s="8" t="s">
        <v>128</v>
      </c>
      <c r="I42" s="9">
        <v>45978</v>
      </c>
    </row>
    <row r="43" spans="1:9" x14ac:dyDescent="0.3">
      <c r="A43" s="8" t="s">
        <v>57</v>
      </c>
      <c r="B43" s="8" t="s">
        <v>57</v>
      </c>
      <c r="C43" s="8" t="s">
        <v>137</v>
      </c>
      <c r="D43" s="10" t="s">
        <v>138</v>
      </c>
      <c r="E43" s="8" t="s">
        <v>139</v>
      </c>
      <c r="F43" s="8" t="s">
        <v>140</v>
      </c>
      <c r="G43" s="8" t="s">
        <v>59</v>
      </c>
      <c r="H43" s="8" t="s">
        <v>141</v>
      </c>
      <c r="I43" s="9">
        <v>45390</v>
      </c>
    </row>
    <row r="44" spans="1:9" x14ac:dyDescent="0.3">
      <c r="A44" s="8" t="s">
        <v>57</v>
      </c>
      <c r="B44" s="8" t="s">
        <v>57</v>
      </c>
      <c r="C44" s="8" t="s">
        <v>142</v>
      </c>
      <c r="D44" s="10">
        <v>0</v>
      </c>
      <c r="E44" s="8" t="s">
        <v>143</v>
      </c>
      <c r="F44" s="8" t="s">
        <v>144</v>
      </c>
      <c r="G44" s="8" t="s">
        <v>59</v>
      </c>
      <c r="H44" s="8" t="s">
        <v>141</v>
      </c>
      <c r="I44" s="9">
        <v>45936</v>
      </c>
    </row>
    <row r="45" spans="1:9" x14ac:dyDescent="0.3">
      <c r="A45" s="8" t="s">
        <v>57</v>
      </c>
      <c r="B45" s="8" t="s">
        <v>57</v>
      </c>
      <c r="C45" s="8" t="s">
        <v>145</v>
      </c>
      <c r="D45" s="8">
        <v>662</v>
      </c>
      <c r="E45" s="8" t="s">
        <v>146</v>
      </c>
      <c r="F45" s="8" t="s">
        <v>144</v>
      </c>
      <c r="G45" s="8" t="s">
        <v>59</v>
      </c>
      <c r="H45" s="8" t="s">
        <v>141</v>
      </c>
      <c r="I45" s="9">
        <v>45306</v>
      </c>
    </row>
    <row r="46" spans="1:9" x14ac:dyDescent="0.3">
      <c r="A46" s="8" t="s">
        <v>67</v>
      </c>
      <c r="B46" s="8" t="s">
        <v>67</v>
      </c>
      <c r="C46" s="8" t="s">
        <v>147</v>
      </c>
      <c r="D46" s="8">
        <v>617</v>
      </c>
      <c r="E46" s="8" t="s">
        <v>148</v>
      </c>
      <c r="F46" s="8" t="s">
        <v>149</v>
      </c>
      <c r="G46" s="8" t="s">
        <v>35</v>
      </c>
      <c r="H46" s="8" t="s">
        <v>150</v>
      </c>
      <c r="I46" s="9">
        <v>45098</v>
      </c>
    </row>
    <row r="47" spans="1:9" x14ac:dyDescent="0.3">
      <c r="A47" s="8" t="s">
        <v>64</v>
      </c>
      <c r="B47" s="8" t="s">
        <v>67</v>
      </c>
      <c r="C47" s="8" t="s">
        <v>151</v>
      </c>
      <c r="D47" s="8">
        <v>414</v>
      </c>
      <c r="E47" s="8" t="s">
        <v>152</v>
      </c>
      <c r="F47" s="8" t="s">
        <v>153</v>
      </c>
      <c r="G47" s="8" t="s">
        <v>35</v>
      </c>
      <c r="H47" s="8" t="s">
        <v>154</v>
      </c>
      <c r="I47" s="9">
        <v>44470</v>
      </c>
    </row>
    <row r="48" spans="1:9" x14ac:dyDescent="0.3">
      <c r="A48" s="8" t="s">
        <v>67</v>
      </c>
      <c r="B48" s="8" t="s">
        <v>67</v>
      </c>
      <c r="C48" s="8" t="s">
        <v>155</v>
      </c>
      <c r="D48" s="8">
        <v>627</v>
      </c>
      <c r="E48" s="8" t="s">
        <v>156</v>
      </c>
      <c r="F48" s="8" t="s">
        <v>157</v>
      </c>
      <c r="G48" s="8" t="s">
        <v>35</v>
      </c>
      <c r="H48" s="8" t="s">
        <v>158</v>
      </c>
      <c r="I48" s="9">
        <v>43587</v>
      </c>
    </row>
    <row r="49" spans="1:9" x14ac:dyDescent="0.3">
      <c r="A49" s="8" t="s">
        <v>67</v>
      </c>
      <c r="B49" s="8" t="s">
        <v>48</v>
      </c>
      <c r="C49" s="8" t="s">
        <v>159</v>
      </c>
      <c r="D49" s="10" t="s">
        <v>160</v>
      </c>
      <c r="E49" s="8" t="s">
        <v>161</v>
      </c>
      <c r="F49" s="8" t="s">
        <v>162</v>
      </c>
      <c r="G49" s="8" t="s">
        <v>163</v>
      </c>
      <c r="H49" s="8" t="s">
        <v>164</v>
      </c>
      <c r="I49" s="9">
        <v>44322</v>
      </c>
    </row>
    <row r="50" spans="1:9" x14ac:dyDescent="0.3">
      <c r="A50" s="8" t="s">
        <v>165</v>
      </c>
      <c r="B50" s="8" t="s">
        <v>166</v>
      </c>
      <c r="C50" s="8" t="s">
        <v>167</v>
      </c>
      <c r="D50" s="8">
        <v>951</v>
      </c>
      <c r="E50" s="8" t="s">
        <v>168</v>
      </c>
      <c r="F50" s="8" t="s">
        <v>169</v>
      </c>
      <c r="G50" s="8" t="s">
        <v>35</v>
      </c>
      <c r="H50" s="8" t="s">
        <v>170</v>
      </c>
      <c r="I50" s="9">
        <v>45992</v>
      </c>
    </row>
    <row r="51" spans="1:9" x14ac:dyDescent="0.3">
      <c r="A51" s="8" t="s">
        <v>165</v>
      </c>
      <c r="B51" s="8" t="s">
        <v>166</v>
      </c>
      <c r="C51" s="8" t="s">
        <v>171</v>
      </c>
      <c r="D51" s="8">
        <v>703</v>
      </c>
      <c r="E51" s="8" t="s">
        <v>172</v>
      </c>
      <c r="F51" s="8" t="s">
        <v>169</v>
      </c>
      <c r="G51" s="8" t="s">
        <v>35</v>
      </c>
      <c r="H51" s="8" t="s">
        <v>170</v>
      </c>
      <c r="I51" s="9">
        <v>45439</v>
      </c>
    </row>
    <row r="52" spans="1:9" x14ac:dyDescent="0.3">
      <c r="A52" s="8" t="s">
        <v>165</v>
      </c>
      <c r="B52" s="8" t="s">
        <v>166</v>
      </c>
      <c r="C52" s="8" t="s">
        <v>173</v>
      </c>
      <c r="D52" s="8">
        <v>789</v>
      </c>
      <c r="E52" s="8" t="s">
        <v>174</v>
      </c>
      <c r="F52" s="8" t="s">
        <v>175</v>
      </c>
      <c r="G52" s="8" t="s">
        <v>35</v>
      </c>
      <c r="H52" s="8" t="s">
        <v>170</v>
      </c>
      <c r="I52" s="9">
        <v>45614</v>
      </c>
    </row>
    <row r="53" spans="1:9" x14ac:dyDescent="0.3">
      <c r="A53" s="8" t="s">
        <v>165</v>
      </c>
      <c r="B53" s="8" t="s">
        <v>166</v>
      </c>
      <c r="C53" s="8" t="s">
        <v>176</v>
      </c>
      <c r="D53" s="8">
        <v>713</v>
      </c>
      <c r="E53" s="8" t="s">
        <v>177</v>
      </c>
      <c r="F53" s="8" t="s">
        <v>178</v>
      </c>
      <c r="G53" s="8" t="s">
        <v>35</v>
      </c>
      <c r="H53" s="8" t="s">
        <v>170</v>
      </c>
      <c r="I53" s="9">
        <v>45446</v>
      </c>
    </row>
    <row r="54" spans="1:9" x14ac:dyDescent="0.3">
      <c r="A54" s="8" t="s">
        <v>165</v>
      </c>
      <c r="B54" s="8" t="s">
        <v>166</v>
      </c>
      <c r="C54" s="8" t="s">
        <v>179</v>
      </c>
      <c r="D54" s="8">
        <v>572</v>
      </c>
      <c r="E54" s="8" t="s">
        <v>180</v>
      </c>
      <c r="F54" s="8" t="s">
        <v>181</v>
      </c>
      <c r="G54" s="8" t="s">
        <v>35</v>
      </c>
      <c r="H54" s="8" t="s">
        <v>170</v>
      </c>
      <c r="I54" s="9">
        <v>44949</v>
      </c>
    </row>
    <row r="55" spans="1:9" x14ac:dyDescent="0.3">
      <c r="A55" s="8" t="s">
        <v>182</v>
      </c>
      <c r="B55" s="8" t="s">
        <v>183</v>
      </c>
      <c r="C55" s="8" t="s">
        <v>184</v>
      </c>
      <c r="D55" s="8">
        <v>489</v>
      </c>
      <c r="E55" s="8" t="s">
        <v>185</v>
      </c>
      <c r="F55" s="8" t="s">
        <v>186</v>
      </c>
      <c r="G55" s="8" t="s">
        <v>35</v>
      </c>
      <c r="H55" s="8" t="s">
        <v>187</v>
      </c>
      <c r="I55" s="9">
        <v>44692</v>
      </c>
    </row>
    <row r="56" spans="1:9" x14ac:dyDescent="0.3">
      <c r="A56" s="8" t="s">
        <v>182</v>
      </c>
      <c r="B56" s="8" t="s">
        <v>183</v>
      </c>
      <c r="C56" s="8" t="s">
        <v>188</v>
      </c>
      <c r="D56" s="8">
        <v>547</v>
      </c>
      <c r="E56" s="8" t="s">
        <v>189</v>
      </c>
      <c r="F56" s="8" t="s">
        <v>186</v>
      </c>
      <c r="G56" s="8" t="s">
        <v>35</v>
      </c>
      <c r="H56" s="8" t="s">
        <v>187</v>
      </c>
      <c r="I56" s="9">
        <v>44909</v>
      </c>
    </row>
    <row r="57" spans="1:9" x14ac:dyDescent="0.3">
      <c r="A57" s="8" t="s">
        <v>182</v>
      </c>
      <c r="B57" s="8" t="s">
        <v>183</v>
      </c>
      <c r="C57" s="8" t="s">
        <v>190</v>
      </c>
      <c r="D57" s="8">
        <v>878</v>
      </c>
      <c r="E57" s="8" t="s">
        <v>191</v>
      </c>
      <c r="F57" s="8" t="s">
        <v>186</v>
      </c>
      <c r="G57" s="8" t="s">
        <v>35</v>
      </c>
      <c r="H57" s="8" t="s">
        <v>187</v>
      </c>
      <c r="I57" s="9">
        <v>45782</v>
      </c>
    </row>
    <row r="58" spans="1:9" x14ac:dyDescent="0.3">
      <c r="A58" s="8" t="s">
        <v>182</v>
      </c>
      <c r="B58" s="8" t="s">
        <v>183</v>
      </c>
      <c r="C58" s="8" t="s">
        <v>192</v>
      </c>
      <c r="D58" s="8">
        <v>447</v>
      </c>
      <c r="E58" s="8" t="s">
        <v>193</v>
      </c>
      <c r="F58" s="8" t="s">
        <v>194</v>
      </c>
      <c r="G58" s="8" t="s">
        <v>35</v>
      </c>
      <c r="H58" s="8" t="s">
        <v>187</v>
      </c>
      <c r="I58" s="9">
        <v>44550</v>
      </c>
    </row>
    <row r="59" spans="1:9" x14ac:dyDescent="0.3">
      <c r="A59" s="8" t="s">
        <v>182</v>
      </c>
      <c r="B59" s="8" t="s">
        <v>183</v>
      </c>
      <c r="C59" s="8" t="s">
        <v>195</v>
      </c>
      <c r="D59" s="8">
        <v>491</v>
      </c>
      <c r="E59" s="8" t="s">
        <v>196</v>
      </c>
      <c r="F59" s="8" t="s">
        <v>197</v>
      </c>
      <c r="G59" s="8" t="s">
        <v>35</v>
      </c>
      <c r="H59" s="8" t="s">
        <v>187</v>
      </c>
      <c r="I59" s="9">
        <v>44713</v>
      </c>
    </row>
    <row r="60" spans="1:9" x14ac:dyDescent="0.3">
      <c r="A60" s="8" t="s">
        <v>182</v>
      </c>
      <c r="B60" s="8" t="s">
        <v>183</v>
      </c>
      <c r="C60" s="8" t="s">
        <v>198</v>
      </c>
      <c r="D60" s="8">
        <v>349</v>
      </c>
      <c r="E60" s="8" t="s">
        <v>199</v>
      </c>
      <c r="F60" s="8" t="s">
        <v>200</v>
      </c>
      <c r="G60" s="8" t="s">
        <v>35</v>
      </c>
      <c r="H60" s="8" t="s">
        <v>187</v>
      </c>
      <c r="I60" s="9">
        <v>43985</v>
      </c>
    </row>
    <row r="61" spans="1:9" x14ac:dyDescent="0.3">
      <c r="A61" s="8" t="s">
        <v>182</v>
      </c>
      <c r="B61" s="8" t="s">
        <v>183</v>
      </c>
      <c r="C61" s="8" t="s">
        <v>201</v>
      </c>
      <c r="D61" s="8">
        <v>862</v>
      </c>
      <c r="E61" s="8" t="s">
        <v>202</v>
      </c>
      <c r="F61" s="8" t="s">
        <v>203</v>
      </c>
      <c r="G61" s="8" t="s">
        <v>35</v>
      </c>
      <c r="H61" s="8" t="s">
        <v>187</v>
      </c>
      <c r="I61" s="9">
        <v>45761</v>
      </c>
    </row>
    <row r="62" spans="1:9" x14ac:dyDescent="0.3">
      <c r="A62" s="8" t="s">
        <v>182</v>
      </c>
      <c r="B62" s="8" t="s">
        <v>183</v>
      </c>
      <c r="C62" s="8" t="s">
        <v>204</v>
      </c>
      <c r="D62" s="8">
        <v>903</v>
      </c>
      <c r="E62" s="8" t="s">
        <v>205</v>
      </c>
      <c r="F62" s="8" t="s">
        <v>203</v>
      </c>
      <c r="G62" s="8" t="s">
        <v>35</v>
      </c>
      <c r="H62" s="8" t="s">
        <v>187</v>
      </c>
      <c r="I62" s="9">
        <v>45873</v>
      </c>
    </row>
    <row r="63" spans="1:9" x14ac:dyDescent="0.3">
      <c r="A63" s="8" t="s">
        <v>182</v>
      </c>
      <c r="B63" s="8" t="s">
        <v>183</v>
      </c>
      <c r="C63" s="8" t="s">
        <v>206</v>
      </c>
      <c r="D63" s="8">
        <v>944</v>
      </c>
      <c r="E63" s="8" t="s">
        <v>207</v>
      </c>
      <c r="F63" s="8" t="s">
        <v>208</v>
      </c>
      <c r="G63" s="8" t="s">
        <v>35</v>
      </c>
      <c r="H63" s="8" t="s">
        <v>187</v>
      </c>
      <c r="I63" s="9">
        <v>45978</v>
      </c>
    </row>
    <row r="64" spans="1:9" x14ac:dyDescent="0.3">
      <c r="A64" s="8" t="s">
        <v>209</v>
      </c>
      <c r="B64" s="8" t="s">
        <v>210</v>
      </c>
      <c r="C64" s="8" t="s">
        <v>211</v>
      </c>
      <c r="D64" s="8">
        <v>409</v>
      </c>
      <c r="E64" s="8" t="s">
        <v>212</v>
      </c>
      <c r="F64" s="8" t="s">
        <v>213</v>
      </c>
      <c r="G64" s="8" t="s">
        <v>13</v>
      </c>
      <c r="H64" s="8" t="s">
        <v>214</v>
      </c>
      <c r="I64" s="9">
        <v>43243</v>
      </c>
    </row>
    <row r="65" spans="1:9" x14ac:dyDescent="0.3">
      <c r="A65" s="8" t="s">
        <v>215</v>
      </c>
      <c r="B65" s="8" t="s">
        <v>215</v>
      </c>
      <c r="C65" s="8" t="s">
        <v>216</v>
      </c>
      <c r="D65" s="8">
        <v>761</v>
      </c>
      <c r="E65" s="8" t="s">
        <v>217</v>
      </c>
      <c r="F65" s="8" t="s">
        <v>78</v>
      </c>
      <c r="G65" s="8" t="s">
        <v>35</v>
      </c>
      <c r="H65" s="8" t="s">
        <v>218</v>
      </c>
      <c r="I65" s="9">
        <v>45545</v>
      </c>
    </row>
    <row r="66" spans="1:9" x14ac:dyDescent="0.3">
      <c r="A66" s="8" t="s">
        <v>215</v>
      </c>
      <c r="B66" s="8" t="s">
        <v>215</v>
      </c>
      <c r="C66" s="8" t="s">
        <v>219</v>
      </c>
      <c r="D66" s="8">
        <v>716</v>
      </c>
      <c r="E66" s="8" t="s">
        <v>220</v>
      </c>
      <c r="F66" s="8" t="s">
        <v>78</v>
      </c>
      <c r="G66" s="8" t="s">
        <v>35</v>
      </c>
      <c r="H66" s="8" t="s">
        <v>218</v>
      </c>
      <c r="I66" s="9">
        <v>45453</v>
      </c>
    </row>
    <row r="67" spans="1:9" x14ac:dyDescent="0.3">
      <c r="A67" s="8" t="s">
        <v>215</v>
      </c>
      <c r="B67" s="8" t="s">
        <v>215</v>
      </c>
      <c r="C67" s="8" t="s">
        <v>221</v>
      </c>
      <c r="D67" s="10" t="s">
        <v>222</v>
      </c>
      <c r="E67" s="8" t="s">
        <v>223</v>
      </c>
      <c r="F67" s="8" t="s">
        <v>224</v>
      </c>
      <c r="G67" s="8" t="s">
        <v>35</v>
      </c>
      <c r="H67" s="8" t="s">
        <v>218</v>
      </c>
      <c r="I67" s="9">
        <v>44652</v>
      </c>
    </row>
    <row r="68" spans="1:9" x14ac:dyDescent="0.3">
      <c r="A68" s="8" t="s">
        <v>225</v>
      </c>
      <c r="B68" s="8" t="s">
        <v>225</v>
      </c>
      <c r="C68" s="8" t="s">
        <v>226</v>
      </c>
      <c r="D68" s="8">
        <v>131</v>
      </c>
      <c r="E68" s="8" t="s">
        <v>227</v>
      </c>
      <c r="F68" s="8" t="s">
        <v>228</v>
      </c>
      <c r="G68" s="8" t="s">
        <v>35</v>
      </c>
      <c r="H68" s="8" t="s">
        <v>229</v>
      </c>
      <c r="I68" s="9">
        <v>41255</v>
      </c>
    </row>
    <row r="69" spans="1:9" x14ac:dyDescent="0.3">
      <c r="A69" s="8" t="s">
        <v>225</v>
      </c>
      <c r="B69" s="8" t="s">
        <v>225</v>
      </c>
      <c r="C69" s="8" t="s">
        <v>230</v>
      </c>
      <c r="D69" s="8">
        <v>848</v>
      </c>
      <c r="E69" s="8" t="s">
        <v>231</v>
      </c>
      <c r="F69" s="8" t="s">
        <v>232</v>
      </c>
      <c r="G69" s="8" t="s">
        <v>35</v>
      </c>
      <c r="H69" s="8" t="s">
        <v>229</v>
      </c>
      <c r="I69" s="9">
        <v>45722</v>
      </c>
    </row>
    <row r="70" spans="1:9" x14ac:dyDescent="0.3">
      <c r="A70" s="8" t="s">
        <v>225</v>
      </c>
      <c r="B70" s="8" t="s">
        <v>225</v>
      </c>
      <c r="C70" s="8" t="s">
        <v>233</v>
      </c>
      <c r="D70" s="8">
        <v>928</v>
      </c>
      <c r="E70" s="8" t="s">
        <v>234</v>
      </c>
      <c r="F70" s="8" t="s">
        <v>235</v>
      </c>
      <c r="G70" s="8" t="s">
        <v>35</v>
      </c>
      <c r="H70" s="8" t="s">
        <v>229</v>
      </c>
      <c r="I70" s="9">
        <v>45936</v>
      </c>
    </row>
    <row r="71" spans="1:9" x14ac:dyDescent="0.3">
      <c r="A71" s="8" t="s">
        <v>41</v>
      </c>
      <c r="B71" s="8" t="s">
        <v>30</v>
      </c>
      <c r="C71" s="8" t="s">
        <v>236</v>
      </c>
      <c r="D71" s="8">
        <v>654</v>
      </c>
      <c r="E71" s="8" t="s">
        <v>237</v>
      </c>
      <c r="F71" s="8" t="s">
        <v>238</v>
      </c>
      <c r="G71" s="8" t="s">
        <v>35</v>
      </c>
      <c r="H71" s="8" t="s">
        <v>43</v>
      </c>
      <c r="I71" s="9">
        <v>45275</v>
      </c>
    </row>
    <row r="72" spans="1:9" x14ac:dyDescent="0.3">
      <c r="A72" s="8" t="s">
        <v>41</v>
      </c>
      <c r="B72" s="8" t="s">
        <v>30</v>
      </c>
      <c r="C72" s="8" t="s">
        <v>239</v>
      </c>
      <c r="D72" s="8">
        <v>589</v>
      </c>
      <c r="E72" s="8" t="s">
        <v>240</v>
      </c>
      <c r="F72" s="8" t="s">
        <v>238</v>
      </c>
      <c r="G72" s="8" t="s">
        <v>35</v>
      </c>
      <c r="H72" s="8" t="s">
        <v>43</v>
      </c>
      <c r="I72" s="9">
        <v>44979</v>
      </c>
    </row>
    <row r="73" spans="1:9" x14ac:dyDescent="0.3">
      <c r="A73" s="8" t="s">
        <v>41</v>
      </c>
      <c r="B73" s="8" t="s">
        <v>30</v>
      </c>
      <c r="C73" s="8" t="s">
        <v>241</v>
      </c>
      <c r="D73" s="10" t="s">
        <v>242</v>
      </c>
      <c r="E73" s="8" t="s">
        <v>243</v>
      </c>
      <c r="F73" s="8" t="s">
        <v>238</v>
      </c>
      <c r="G73" s="8" t="s">
        <v>35</v>
      </c>
      <c r="H73" s="8" t="s">
        <v>43</v>
      </c>
      <c r="I73" s="9">
        <v>46006</v>
      </c>
    </row>
    <row r="74" spans="1:9" x14ac:dyDescent="0.3">
      <c r="A74" s="8" t="s">
        <v>41</v>
      </c>
      <c r="B74" s="8" t="s">
        <v>30</v>
      </c>
      <c r="C74" s="8" t="s">
        <v>244</v>
      </c>
      <c r="D74" s="8">
        <v>401</v>
      </c>
      <c r="E74" s="8" t="s">
        <v>245</v>
      </c>
      <c r="F74" s="8" t="s">
        <v>238</v>
      </c>
      <c r="G74" s="8" t="s">
        <v>35</v>
      </c>
      <c r="H74" s="8" t="s">
        <v>43</v>
      </c>
      <c r="I74" s="9">
        <v>44391</v>
      </c>
    </row>
    <row r="75" spans="1:9" x14ac:dyDescent="0.3">
      <c r="A75" s="8" t="s">
        <v>41</v>
      </c>
      <c r="B75" s="8" t="s">
        <v>30</v>
      </c>
      <c r="C75" s="8" t="s">
        <v>246</v>
      </c>
      <c r="D75" s="10" t="s">
        <v>247</v>
      </c>
      <c r="E75" s="8" t="s">
        <v>248</v>
      </c>
      <c r="F75" s="8" t="s">
        <v>249</v>
      </c>
      <c r="G75" s="8" t="s">
        <v>35</v>
      </c>
      <c r="H75" s="8" t="s">
        <v>43</v>
      </c>
      <c r="I75" s="9">
        <v>45810</v>
      </c>
    </row>
    <row r="76" spans="1:9" x14ac:dyDescent="0.3">
      <c r="A76" s="8" t="s">
        <v>41</v>
      </c>
      <c r="B76" s="8" t="s">
        <v>30</v>
      </c>
      <c r="C76" s="8" t="s">
        <v>250</v>
      </c>
      <c r="D76" s="8">
        <v>804</v>
      </c>
      <c r="E76" s="8" t="s">
        <v>251</v>
      </c>
      <c r="F76" s="8" t="s">
        <v>249</v>
      </c>
      <c r="G76" s="8" t="s">
        <v>35</v>
      </c>
      <c r="H76" s="8" t="s">
        <v>43</v>
      </c>
      <c r="I76" s="9">
        <v>45663</v>
      </c>
    </row>
    <row r="77" spans="1:9" x14ac:dyDescent="0.3">
      <c r="A77" s="8" t="s">
        <v>41</v>
      </c>
      <c r="B77" s="8" t="s">
        <v>30</v>
      </c>
      <c r="C77" s="8" t="s">
        <v>252</v>
      </c>
      <c r="D77" s="8">
        <v>483</v>
      </c>
      <c r="E77" s="8" t="s">
        <v>253</v>
      </c>
      <c r="F77" s="8" t="s">
        <v>254</v>
      </c>
      <c r="G77" s="8" t="s">
        <v>35</v>
      </c>
      <c r="H77" s="8" t="s">
        <v>43</v>
      </c>
      <c r="I77" s="9">
        <v>44671</v>
      </c>
    </row>
    <row r="78" spans="1:9" x14ac:dyDescent="0.3">
      <c r="A78" s="8" t="s">
        <v>255</v>
      </c>
      <c r="B78" s="8" t="s">
        <v>255</v>
      </c>
      <c r="C78" s="8" t="s">
        <v>256</v>
      </c>
      <c r="D78" s="8">
        <v>931</v>
      </c>
      <c r="E78" s="8" t="s">
        <v>257</v>
      </c>
      <c r="F78" s="8" t="s">
        <v>258</v>
      </c>
      <c r="G78" s="8" t="s">
        <v>35</v>
      </c>
      <c r="H78" s="8" t="s">
        <v>259</v>
      </c>
      <c r="I78" s="9">
        <v>45950</v>
      </c>
    </row>
    <row r="79" spans="1:9" x14ac:dyDescent="0.3">
      <c r="A79" s="8" t="s">
        <v>255</v>
      </c>
      <c r="B79" s="8" t="s">
        <v>255</v>
      </c>
      <c r="C79" s="8" t="s">
        <v>260</v>
      </c>
      <c r="D79" s="8">
        <v>941</v>
      </c>
      <c r="E79" s="8" t="s">
        <v>261</v>
      </c>
      <c r="F79" s="8" t="s">
        <v>258</v>
      </c>
      <c r="G79" s="8" t="s">
        <v>35</v>
      </c>
      <c r="H79" s="8" t="s">
        <v>259</v>
      </c>
      <c r="I79" s="9">
        <v>45978</v>
      </c>
    </row>
    <row r="80" spans="1:9" x14ac:dyDescent="0.3">
      <c r="A80" s="8" t="s">
        <v>255</v>
      </c>
      <c r="B80" s="8" t="s">
        <v>255</v>
      </c>
      <c r="C80" s="8" t="s">
        <v>262</v>
      </c>
      <c r="D80" s="8">
        <v>376</v>
      </c>
      <c r="E80" s="8" t="s">
        <v>263</v>
      </c>
      <c r="F80" s="8" t="s">
        <v>264</v>
      </c>
      <c r="G80" s="8" t="s">
        <v>35</v>
      </c>
      <c r="H80" s="8" t="s">
        <v>259</v>
      </c>
      <c r="I80" s="9">
        <v>44259</v>
      </c>
    </row>
    <row r="81" spans="1:9" x14ac:dyDescent="0.3">
      <c r="A81" s="8" t="s">
        <v>255</v>
      </c>
      <c r="B81" s="8" t="s">
        <v>255</v>
      </c>
      <c r="C81" s="8" t="s">
        <v>265</v>
      </c>
      <c r="D81" s="8">
        <v>923</v>
      </c>
      <c r="E81" s="8" t="s">
        <v>266</v>
      </c>
      <c r="F81" s="8" t="s">
        <v>267</v>
      </c>
      <c r="G81" s="8" t="s">
        <v>35</v>
      </c>
      <c r="H81" s="8" t="s">
        <v>259</v>
      </c>
      <c r="I81" s="9">
        <v>45915</v>
      </c>
    </row>
    <row r="82" spans="1:9" x14ac:dyDescent="0.3">
      <c r="A82" s="8" t="s">
        <v>255</v>
      </c>
      <c r="B82" s="8" t="s">
        <v>255</v>
      </c>
      <c r="C82" s="8" t="s">
        <v>268</v>
      </c>
      <c r="D82" s="8">
        <v>827</v>
      </c>
      <c r="E82" s="8" t="s">
        <v>269</v>
      </c>
      <c r="F82" s="8" t="s">
        <v>267</v>
      </c>
      <c r="G82" s="8" t="s">
        <v>35</v>
      </c>
      <c r="H82" s="8" t="s">
        <v>259</v>
      </c>
      <c r="I82" s="9">
        <v>45705</v>
      </c>
    </row>
    <row r="83" spans="1:9" x14ac:dyDescent="0.3">
      <c r="A83" s="8" t="s">
        <v>270</v>
      </c>
      <c r="B83" s="8" t="s">
        <v>270</v>
      </c>
      <c r="C83" s="8" t="s">
        <v>271</v>
      </c>
      <c r="D83" s="8">
        <v>881</v>
      </c>
      <c r="E83" s="8" t="s">
        <v>272</v>
      </c>
      <c r="F83" s="8" t="s">
        <v>273</v>
      </c>
      <c r="G83" s="8" t="s">
        <v>35</v>
      </c>
      <c r="H83" s="8" t="s">
        <v>274</v>
      </c>
      <c r="I83" s="9">
        <v>45789</v>
      </c>
    </row>
    <row r="84" spans="1:9" x14ac:dyDescent="0.3">
      <c r="A84" s="8" t="s">
        <v>270</v>
      </c>
      <c r="B84" s="8" t="s">
        <v>270</v>
      </c>
      <c r="C84" s="8" t="s">
        <v>275</v>
      </c>
      <c r="D84" s="8">
        <v>605</v>
      </c>
      <c r="E84" s="8" t="s">
        <v>276</v>
      </c>
      <c r="F84" s="8" t="s">
        <v>277</v>
      </c>
      <c r="G84" s="8" t="s">
        <v>35</v>
      </c>
      <c r="H84" s="8" t="s">
        <v>274</v>
      </c>
      <c r="I84" s="9">
        <v>45063</v>
      </c>
    </row>
    <row r="85" spans="1:9" x14ac:dyDescent="0.3">
      <c r="A85" s="8" t="s">
        <v>270</v>
      </c>
      <c r="B85" s="8" t="s">
        <v>270</v>
      </c>
      <c r="C85" s="8" t="s">
        <v>278</v>
      </c>
      <c r="D85" s="10" t="s">
        <v>279</v>
      </c>
      <c r="E85" s="8" t="s">
        <v>280</v>
      </c>
      <c r="F85" s="8" t="s">
        <v>277</v>
      </c>
      <c r="G85" s="8" t="s">
        <v>35</v>
      </c>
      <c r="H85" s="8" t="s">
        <v>274</v>
      </c>
      <c r="I85" s="9">
        <v>45936</v>
      </c>
    </row>
    <row r="86" spans="1:9" x14ac:dyDescent="0.3">
      <c r="A86" s="8" t="s">
        <v>270</v>
      </c>
      <c r="B86" s="8" t="s">
        <v>270</v>
      </c>
      <c r="C86" s="8" t="s">
        <v>281</v>
      </c>
      <c r="D86" s="8">
        <v>767</v>
      </c>
      <c r="E86" s="8" t="s">
        <v>282</v>
      </c>
      <c r="F86" s="8" t="s">
        <v>283</v>
      </c>
      <c r="G86" s="8" t="s">
        <v>35</v>
      </c>
      <c r="H86" s="8" t="s">
        <v>274</v>
      </c>
      <c r="I86" s="9">
        <v>45566</v>
      </c>
    </row>
    <row r="87" spans="1:9" x14ac:dyDescent="0.3">
      <c r="A87" s="8" t="s">
        <v>152</v>
      </c>
      <c r="B87" s="8" t="s">
        <v>284</v>
      </c>
      <c r="C87" s="8" t="s">
        <v>285</v>
      </c>
      <c r="D87" s="10" t="s">
        <v>286</v>
      </c>
      <c r="E87" s="8" t="s">
        <v>287</v>
      </c>
      <c r="F87" s="8" t="s">
        <v>288</v>
      </c>
      <c r="G87" s="8" t="s">
        <v>35</v>
      </c>
      <c r="H87" s="8" t="s">
        <v>289</v>
      </c>
      <c r="I87" s="9">
        <v>44866</v>
      </c>
    </row>
    <row r="88" spans="1:9" x14ac:dyDescent="0.3">
      <c r="A88" s="8" t="s">
        <v>152</v>
      </c>
      <c r="B88" s="8" t="s">
        <v>284</v>
      </c>
      <c r="C88" s="8" t="s">
        <v>290</v>
      </c>
      <c r="D88" s="8">
        <v>523</v>
      </c>
      <c r="E88" s="8" t="s">
        <v>291</v>
      </c>
      <c r="F88" s="8" t="s">
        <v>292</v>
      </c>
      <c r="G88" s="8" t="s">
        <v>35</v>
      </c>
      <c r="H88" s="8" t="s">
        <v>293</v>
      </c>
      <c r="I88" s="9">
        <v>44823</v>
      </c>
    </row>
    <row r="89" spans="1:9" x14ac:dyDescent="0.3">
      <c r="A89" s="8" t="s">
        <v>152</v>
      </c>
      <c r="B89" s="8" t="s">
        <v>284</v>
      </c>
      <c r="C89" s="8" t="s">
        <v>294</v>
      </c>
      <c r="D89" s="8">
        <v>785</v>
      </c>
      <c r="E89" s="8" t="s">
        <v>295</v>
      </c>
      <c r="F89" s="8" t="s">
        <v>292</v>
      </c>
      <c r="G89" s="8" t="s">
        <v>35</v>
      </c>
      <c r="H89" s="8" t="s">
        <v>296</v>
      </c>
      <c r="I89" s="9">
        <v>45600</v>
      </c>
    </row>
    <row r="90" spans="1:9" x14ac:dyDescent="0.3">
      <c r="A90" s="8" t="s">
        <v>297</v>
      </c>
      <c r="B90" s="8" t="s">
        <v>298</v>
      </c>
      <c r="C90" s="8" t="s">
        <v>299</v>
      </c>
      <c r="D90" s="8">
        <v>811</v>
      </c>
      <c r="E90" s="8" t="s">
        <v>300</v>
      </c>
      <c r="F90" s="8" t="s">
        <v>301</v>
      </c>
      <c r="G90" s="8" t="s">
        <v>35</v>
      </c>
      <c r="H90" s="8" t="s">
        <v>302</v>
      </c>
      <c r="I90" s="9">
        <v>45691</v>
      </c>
    </row>
    <row r="91" spans="1:9" x14ac:dyDescent="0.3">
      <c r="A91" s="8" t="s">
        <v>297</v>
      </c>
      <c r="B91" s="8" t="s">
        <v>298</v>
      </c>
      <c r="C91" s="8" t="s">
        <v>303</v>
      </c>
      <c r="D91" s="8">
        <v>865</v>
      </c>
      <c r="E91" s="8" t="s">
        <v>304</v>
      </c>
      <c r="F91" s="8" t="s">
        <v>305</v>
      </c>
      <c r="G91" s="8" t="s">
        <v>35</v>
      </c>
      <c r="H91" s="8" t="s">
        <v>302</v>
      </c>
      <c r="I91" s="9">
        <v>45761</v>
      </c>
    </row>
    <row r="92" spans="1:9" x14ac:dyDescent="0.3">
      <c r="A92" s="8" t="s">
        <v>297</v>
      </c>
      <c r="B92" s="8" t="s">
        <v>298</v>
      </c>
      <c r="C92" s="8" t="s">
        <v>306</v>
      </c>
      <c r="D92" s="8">
        <v>877</v>
      </c>
      <c r="E92" s="8" t="s">
        <v>307</v>
      </c>
      <c r="F92" s="8" t="s">
        <v>305</v>
      </c>
      <c r="G92" s="8" t="s">
        <v>35</v>
      </c>
      <c r="H92" s="8" t="s">
        <v>302</v>
      </c>
      <c r="I92" s="9">
        <v>45782</v>
      </c>
    </row>
    <row r="93" spans="1:9" x14ac:dyDescent="0.3">
      <c r="A93" s="8" t="s">
        <v>297</v>
      </c>
      <c r="B93" s="8" t="s">
        <v>298</v>
      </c>
      <c r="C93" s="8" t="s">
        <v>308</v>
      </c>
      <c r="D93" s="8">
        <v>626</v>
      </c>
      <c r="E93" s="8" t="s">
        <v>309</v>
      </c>
      <c r="F93" s="8" t="s">
        <v>305</v>
      </c>
      <c r="G93" s="8" t="s">
        <v>35</v>
      </c>
      <c r="H93" s="8" t="s">
        <v>302</v>
      </c>
      <c r="I93" s="9">
        <v>45154</v>
      </c>
    </row>
    <row r="94" spans="1:9" x14ac:dyDescent="0.3">
      <c r="A94" s="8" t="s">
        <v>297</v>
      </c>
      <c r="B94" s="8" t="s">
        <v>298</v>
      </c>
      <c r="C94" s="8" t="s">
        <v>310</v>
      </c>
      <c r="D94" s="8">
        <v>935</v>
      </c>
      <c r="E94" s="8" t="s">
        <v>311</v>
      </c>
      <c r="F94" s="8" t="s">
        <v>312</v>
      </c>
      <c r="G94" s="8" t="s">
        <v>35</v>
      </c>
      <c r="H94" s="8" t="s">
        <v>302</v>
      </c>
      <c r="I94" s="9">
        <v>45964</v>
      </c>
    </row>
    <row r="95" spans="1:9" x14ac:dyDescent="0.3">
      <c r="A95" s="8" t="s">
        <v>297</v>
      </c>
      <c r="B95" s="8" t="s">
        <v>298</v>
      </c>
      <c r="C95" s="8" t="s">
        <v>313</v>
      </c>
      <c r="D95" s="8">
        <v>658</v>
      </c>
      <c r="E95" s="8" t="s">
        <v>314</v>
      </c>
      <c r="F95" s="8" t="s">
        <v>312</v>
      </c>
      <c r="G95" s="8" t="s">
        <v>35</v>
      </c>
      <c r="H95" s="8" t="s">
        <v>302</v>
      </c>
      <c r="I95" s="9">
        <v>45275</v>
      </c>
    </row>
    <row r="96" spans="1:9" x14ac:dyDescent="0.3">
      <c r="A96" s="8" t="s">
        <v>315</v>
      </c>
      <c r="B96" s="8" t="s">
        <v>315</v>
      </c>
      <c r="C96" s="8" t="s">
        <v>316</v>
      </c>
      <c r="D96" s="8">
        <v>824</v>
      </c>
      <c r="E96" s="8" t="s">
        <v>82</v>
      </c>
      <c r="F96" s="8" t="s">
        <v>213</v>
      </c>
      <c r="G96" s="8" t="s">
        <v>13</v>
      </c>
      <c r="H96" s="8" t="s">
        <v>85</v>
      </c>
      <c r="I96" s="9">
        <v>45691</v>
      </c>
    </row>
    <row r="97" spans="1:9" x14ac:dyDescent="0.3">
      <c r="A97" s="8" t="s">
        <v>33</v>
      </c>
      <c r="B97" s="8" t="s">
        <v>33</v>
      </c>
      <c r="C97" s="8" t="s">
        <v>317</v>
      </c>
      <c r="D97" s="8">
        <v>755</v>
      </c>
      <c r="E97" s="8" t="s">
        <v>318</v>
      </c>
      <c r="F97" s="8" t="s">
        <v>319</v>
      </c>
      <c r="G97" s="8" t="s">
        <v>35</v>
      </c>
      <c r="H97" s="8" t="s">
        <v>36</v>
      </c>
      <c r="I97" s="9">
        <v>45537</v>
      </c>
    </row>
    <row r="98" spans="1:9" x14ac:dyDescent="0.3">
      <c r="A98" s="8" t="s">
        <v>33</v>
      </c>
      <c r="B98" s="8" t="s">
        <v>33</v>
      </c>
      <c r="C98" s="8" t="s">
        <v>320</v>
      </c>
      <c r="D98" s="8">
        <v>732</v>
      </c>
      <c r="E98" s="8" t="s">
        <v>321</v>
      </c>
      <c r="F98" s="8" t="s">
        <v>319</v>
      </c>
      <c r="G98" s="8" t="s">
        <v>35</v>
      </c>
      <c r="H98" s="8" t="s">
        <v>36</v>
      </c>
      <c r="I98" s="9">
        <v>45474</v>
      </c>
    </row>
    <row r="99" spans="1:9" x14ac:dyDescent="0.3">
      <c r="A99" s="8" t="s">
        <v>33</v>
      </c>
      <c r="B99" s="8" t="s">
        <v>33</v>
      </c>
      <c r="C99" s="8" t="s">
        <v>322</v>
      </c>
      <c r="D99" s="8">
        <v>768</v>
      </c>
      <c r="E99" s="8" t="s">
        <v>323</v>
      </c>
      <c r="F99" s="8" t="s">
        <v>324</v>
      </c>
      <c r="G99" s="8" t="s">
        <v>35</v>
      </c>
      <c r="H99" s="8" t="s">
        <v>36</v>
      </c>
      <c r="I99" s="9">
        <v>45564</v>
      </c>
    </row>
    <row r="100" spans="1:9" x14ac:dyDescent="0.3">
      <c r="A100" s="8" t="s">
        <v>325</v>
      </c>
      <c r="B100" s="8" t="s">
        <v>326</v>
      </c>
      <c r="C100" s="8" t="s">
        <v>327</v>
      </c>
      <c r="D100" s="8">
        <v>469</v>
      </c>
      <c r="E100" s="8" t="s">
        <v>328</v>
      </c>
      <c r="F100" s="8" t="s">
        <v>175</v>
      </c>
      <c r="G100" s="8" t="s">
        <v>35</v>
      </c>
      <c r="H100" s="8" t="s">
        <v>329</v>
      </c>
      <c r="I100" s="9">
        <v>44630</v>
      </c>
    </row>
    <row r="101" spans="1:9" x14ac:dyDescent="0.3">
      <c r="A101" s="8" t="s">
        <v>325</v>
      </c>
      <c r="B101" s="8" t="s">
        <v>326</v>
      </c>
      <c r="C101" s="8" t="s">
        <v>330</v>
      </c>
      <c r="D101" s="8">
        <v>930</v>
      </c>
      <c r="E101" s="8" t="s">
        <v>331</v>
      </c>
      <c r="F101" s="8" t="s">
        <v>175</v>
      </c>
      <c r="G101" s="8" t="s">
        <v>35</v>
      </c>
      <c r="H101" s="8" t="s">
        <v>329</v>
      </c>
      <c r="I101" s="9">
        <v>45950</v>
      </c>
    </row>
    <row r="102" spans="1:9" x14ac:dyDescent="0.3">
      <c r="A102" s="8" t="s">
        <v>332</v>
      </c>
      <c r="B102" s="8" t="s">
        <v>332</v>
      </c>
      <c r="C102" s="8" t="s">
        <v>333</v>
      </c>
      <c r="D102" s="8">
        <v>912</v>
      </c>
      <c r="E102" s="8" t="s">
        <v>334</v>
      </c>
      <c r="F102" s="8" t="s">
        <v>74</v>
      </c>
      <c r="G102" s="8" t="s">
        <v>35</v>
      </c>
      <c r="H102" s="8" t="s">
        <v>335</v>
      </c>
      <c r="I102" s="9">
        <v>45887</v>
      </c>
    </row>
    <row r="103" spans="1:9" x14ac:dyDescent="0.3">
      <c r="A103" s="8" t="s">
        <v>332</v>
      </c>
      <c r="B103" s="8" t="s">
        <v>332</v>
      </c>
      <c r="C103" s="8" t="s">
        <v>336</v>
      </c>
      <c r="D103" s="8">
        <v>898</v>
      </c>
      <c r="E103" s="8" t="s">
        <v>337</v>
      </c>
      <c r="F103" s="8" t="s">
        <v>78</v>
      </c>
      <c r="G103" s="8" t="s">
        <v>35</v>
      </c>
      <c r="H103" s="8" t="s">
        <v>335</v>
      </c>
      <c r="I103" s="9">
        <v>45873</v>
      </c>
    </row>
    <row r="104" spans="1:9" x14ac:dyDescent="0.3">
      <c r="A104" s="8" t="s">
        <v>332</v>
      </c>
      <c r="B104" s="8" t="s">
        <v>332</v>
      </c>
      <c r="C104" s="8" t="s">
        <v>338</v>
      </c>
      <c r="D104" s="10" t="s">
        <v>339</v>
      </c>
      <c r="E104" s="8" t="s">
        <v>340</v>
      </c>
      <c r="F104" s="8" t="s">
        <v>124</v>
      </c>
      <c r="G104" s="8" t="s">
        <v>35</v>
      </c>
      <c r="H104" s="8" t="s">
        <v>335</v>
      </c>
      <c r="I104" s="9">
        <v>45824</v>
      </c>
    </row>
    <row r="105" spans="1:9" x14ac:dyDescent="0.3">
      <c r="A105" s="8" t="s">
        <v>341</v>
      </c>
      <c r="B105" s="8" t="s">
        <v>291</v>
      </c>
      <c r="C105" s="8" t="s">
        <v>342</v>
      </c>
      <c r="D105" s="8">
        <v>615</v>
      </c>
      <c r="E105" s="8" t="s">
        <v>343</v>
      </c>
      <c r="F105" s="8" t="s">
        <v>344</v>
      </c>
      <c r="G105" s="8" t="s">
        <v>35</v>
      </c>
      <c r="H105" s="8" t="s">
        <v>345</v>
      </c>
      <c r="I105" s="9">
        <v>45089</v>
      </c>
    </row>
    <row r="106" spans="1:9" x14ac:dyDescent="0.3">
      <c r="A106" s="8" t="s">
        <v>212</v>
      </c>
      <c r="B106" s="8" t="s">
        <v>212</v>
      </c>
      <c r="C106" s="8" t="s">
        <v>346</v>
      </c>
      <c r="D106" s="8">
        <v>921</v>
      </c>
      <c r="E106" s="8" t="s">
        <v>347</v>
      </c>
      <c r="F106" s="8" t="s">
        <v>12</v>
      </c>
      <c r="G106" s="8" t="s">
        <v>13</v>
      </c>
      <c r="H106" s="8" t="s">
        <v>214</v>
      </c>
      <c r="I106" s="9">
        <v>45915</v>
      </c>
    </row>
    <row r="107" spans="1:9" x14ac:dyDescent="0.3">
      <c r="A107" s="8" t="s">
        <v>212</v>
      </c>
      <c r="B107" s="8" t="s">
        <v>212</v>
      </c>
      <c r="C107" s="8" t="s">
        <v>348</v>
      </c>
      <c r="D107" s="8">
        <v>814</v>
      </c>
      <c r="E107" s="8" t="s">
        <v>349</v>
      </c>
      <c r="F107" s="8" t="s">
        <v>12</v>
      </c>
      <c r="G107" s="8" t="s">
        <v>13</v>
      </c>
      <c r="H107" s="8" t="s">
        <v>214</v>
      </c>
      <c r="I107" s="9">
        <v>45691</v>
      </c>
    </row>
    <row r="108" spans="1:9" x14ac:dyDescent="0.3">
      <c r="A108" s="8" t="s">
        <v>212</v>
      </c>
      <c r="B108" s="8" t="s">
        <v>212</v>
      </c>
      <c r="C108" s="8" t="s">
        <v>350</v>
      </c>
      <c r="D108" s="8">
        <v>889</v>
      </c>
      <c r="E108" s="8" t="s">
        <v>351</v>
      </c>
      <c r="F108" s="8" t="s">
        <v>12</v>
      </c>
      <c r="G108" s="8" t="s">
        <v>13</v>
      </c>
      <c r="H108" s="8" t="s">
        <v>214</v>
      </c>
      <c r="I108" s="9">
        <v>45824</v>
      </c>
    </row>
    <row r="109" spans="1:9" x14ac:dyDescent="0.3">
      <c r="A109" s="8" t="s">
        <v>212</v>
      </c>
      <c r="B109" s="8" t="s">
        <v>212</v>
      </c>
      <c r="C109" s="8" t="s">
        <v>352</v>
      </c>
      <c r="D109" s="8">
        <v>825</v>
      </c>
      <c r="E109" s="8" t="s">
        <v>353</v>
      </c>
      <c r="F109" s="8" t="s">
        <v>12</v>
      </c>
      <c r="G109" s="8" t="s">
        <v>13</v>
      </c>
      <c r="H109" s="8" t="s">
        <v>214</v>
      </c>
      <c r="I109" s="9">
        <v>45690</v>
      </c>
    </row>
    <row r="110" spans="1:9" x14ac:dyDescent="0.3">
      <c r="A110" s="8" t="s">
        <v>212</v>
      </c>
      <c r="B110" s="8" t="s">
        <v>212</v>
      </c>
      <c r="C110" s="8" t="s">
        <v>354</v>
      </c>
      <c r="D110" s="8">
        <v>818</v>
      </c>
      <c r="E110" s="8" t="s">
        <v>355</v>
      </c>
      <c r="F110" s="8" t="s">
        <v>12</v>
      </c>
      <c r="G110" s="8" t="s">
        <v>13</v>
      </c>
      <c r="H110" s="8" t="s">
        <v>214</v>
      </c>
      <c r="I110" s="9">
        <v>45691</v>
      </c>
    </row>
    <row r="111" spans="1:9" x14ac:dyDescent="0.3">
      <c r="A111" s="8" t="s">
        <v>212</v>
      </c>
      <c r="B111" s="8" t="s">
        <v>212</v>
      </c>
      <c r="C111" s="8" t="s">
        <v>356</v>
      </c>
      <c r="D111" s="8">
        <v>813</v>
      </c>
      <c r="E111" s="8" t="s">
        <v>357</v>
      </c>
      <c r="F111" s="8" t="s">
        <v>12</v>
      </c>
      <c r="G111" s="8" t="s">
        <v>13</v>
      </c>
      <c r="H111" s="8" t="s">
        <v>214</v>
      </c>
      <c r="I111" s="9">
        <v>45691</v>
      </c>
    </row>
    <row r="112" spans="1:9" x14ac:dyDescent="0.3">
      <c r="A112" s="8" t="s">
        <v>212</v>
      </c>
      <c r="B112" s="8" t="s">
        <v>212</v>
      </c>
      <c r="C112" s="8" t="s">
        <v>358</v>
      </c>
      <c r="D112" s="8">
        <v>820</v>
      </c>
      <c r="E112" s="8" t="s">
        <v>359</v>
      </c>
      <c r="F112" s="8" t="s">
        <v>12</v>
      </c>
      <c r="G112" s="8" t="s">
        <v>13</v>
      </c>
      <c r="H112" s="8" t="s">
        <v>214</v>
      </c>
      <c r="I112" s="9">
        <v>45691</v>
      </c>
    </row>
    <row r="113" spans="1:9" x14ac:dyDescent="0.3">
      <c r="A113" s="8" t="s">
        <v>212</v>
      </c>
      <c r="B113" s="8" t="s">
        <v>212</v>
      </c>
      <c r="C113" s="8" t="s">
        <v>360</v>
      </c>
      <c r="D113" s="8">
        <v>643</v>
      </c>
      <c r="E113" s="8" t="s">
        <v>361</v>
      </c>
      <c r="F113" s="8" t="s">
        <v>12</v>
      </c>
      <c r="G113" s="8" t="s">
        <v>13</v>
      </c>
      <c r="H113" s="8" t="s">
        <v>214</v>
      </c>
      <c r="I113" s="9">
        <v>45215</v>
      </c>
    </row>
    <row r="114" spans="1:9" x14ac:dyDescent="0.3">
      <c r="A114" s="8" t="s">
        <v>212</v>
      </c>
      <c r="B114" s="8" t="s">
        <v>212</v>
      </c>
      <c r="C114" s="8" t="s">
        <v>362</v>
      </c>
      <c r="D114" s="8">
        <v>735</v>
      </c>
      <c r="E114" s="8" t="s">
        <v>363</v>
      </c>
      <c r="F114" s="8" t="s">
        <v>12</v>
      </c>
      <c r="G114" s="8" t="s">
        <v>13</v>
      </c>
      <c r="H114" s="8" t="s">
        <v>214</v>
      </c>
      <c r="I114" s="9">
        <v>45488</v>
      </c>
    </row>
    <row r="115" spans="1:9" x14ac:dyDescent="0.3">
      <c r="A115" s="8" t="s">
        <v>212</v>
      </c>
      <c r="B115" s="8" t="s">
        <v>212</v>
      </c>
      <c r="C115" s="8" t="s">
        <v>364</v>
      </c>
      <c r="D115" s="8">
        <v>655</v>
      </c>
      <c r="E115" s="8" t="s">
        <v>365</v>
      </c>
      <c r="F115" s="8" t="s">
        <v>12</v>
      </c>
      <c r="G115" s="8" t="s">
        <v>13</v>
      </c>
      <c r="H115" s="8" t="s">
        <v>214</v>
      </c>
      <c r="I115" s="9">
        <v>45275</v>
      </c>
    </row>
    <row r="116" spans="1:9" x14ac:dyDescent="0.3">
      <c r="A116" s="8" t="s">
        <v>366</v>
      </c>
      <c r="B116" s="8" t="s">
        <v>366</v>
      </c>
      <c r="C116" s="8" t="s">
        <v>367</v>
      </c>
      <c r="D116" s="8">
        <v>926</v>
      </c>
      <c r="E116" s="8" t="s">
        <v>368</v>
      </c>
      <c r="F116" s="8" t="s">
        <v>369</v>
      </c>
      <c r="G116" s="8" t="s">
        <v>35</v>
      </c>
      <c r="H116" s="8" t="s">
        <v>370</v>
      </c>
      <c r="I116" s="9">
        <v>45915</v>
      </c>
    </row>
    <row r="117" spans="1:9" x14ac:dyDescent="0.3">
      <c r="A117" s="8" t="s">
        <v>371</v>
      </c>
      <c r="B117" s="8" t="s">
        <v>291</v>
      </c>
      <c r="C117" s="8" t="s">
        <v>372</v>
      </c>
      <c r="D117" s="8">
        <v>433</v>
      </c>
      <c r="E117" s="8" t="s">
        <v>373</v>
      </c>
      <c r="F117" s="8" t="s">
        <v>369</v>
      </c>
      <c r="G117" s="8" t="s">
        <v>35</v>
      </c>
      <c r="H117" s="8" t="s">
        <v>374</v>
      </c>
      <c r="I117" s="9">
        <v>44522</v>
      </c>
    </row>
    <row r="118" spans="1:9" x14ac:dyDescent="0.3">
      <c r="A118" s="8" t="s">
        <v>375</v>
      </c>
      <c r="B118" s="8" t="s">
        <v>298</v>
      </c>
      <c r="C118" s="8" t="s">
        <v>376</v>
      </c>
      <c r="D118" s="8">
        <v>656</v>
      </c>
      <c r="E118" s="8" t="s">
        <v>377</v>
      </c>
      <c r="F118" s="8" t="s">
        <v>305</v>
      </c>
      <c r="G118" s="8" t="s">
        <v>35</v>
      </c>
      <c r="H118" s="8" t="s">
        <v>378</v>
      </c>
      <c r="I118" s="9">
        <v>45275</v>
      </c>
    </row>
    <row r="119" spans="1:9" x14ac:dyDescent="0.3">
      <c r="A119" s="8" t="s">
        <v>375</v>
      </c>
      <c r="B119" s="8" t="s">
        <v>298</v>
      </c>
      <c r="C119" s="8" t="s">
        <v>379</v>
      </c>
      <c r="D119" s="8">
        <v>734</v>
      </c>
      <c r="E119" s="8" t="s">
        <v>380</v>
      </c>
      <c r="F119" s="8" t="s">
        <v>305</v>
      </c>
      <c r="G119" s="8" t="s">
        <v>35</v>
      </c>
      <c r="H119" s="8" t="s">
        <v>378</v>
      </c>
      <c r="I119" s="9">
        <v>45474</v>
      </c>
    </row>
    <row r="120" spans="1:9" x14ac:dyDescent="0.3">
      <c r="A120" s="8" t="s">
        <v>64</v>
      </c>
      <c r="B120" s="8" t="s">
        <v>381</v>
      </c>
      <c r="C120" s="8" t="s">
        <v>382</v>
      </c>
      <c r="D120" s="10" t="s">
        <v>383</v>
      </c>
      <c r="E120" s="8" t="s">
        <v>384</v>
      </c>
      <c r="F120" s="8" t="s">
        <v>162</v>
      </c>
      <c r="G120" s="8" t="s">
        <v>13</v>
      </c>
      <c r="H120" s="8" t="s">
        <v>385</v>
      </c>
      <c r="I120" s="9">
        <v>44840</v>
      </c>
    </row>
    <row r="121" spans="1:9" x14ac:dyDescent="0.3">
      <c r="A121" s="8" t="s">
        <v>64</v>
      </c>
      <c r="B121" s="8" t="s">
        <v>381</v>
      </c>
      <c r="C121" s="8" t="s">
        <v>386</v>
      </c>
      <c r="D121" s="10" t="s">
        <v>387</v>
      </c>
      <c r="E121" s="8" t="s">
        <v>388</v>
      </c>
      <c r="F121" s="8" t="s">
        <v>162</v>
      </c>
      <c r="G121" s="8" t="s">
        <v>13</v>
      </c>
      <c r="H121" s="8" t="s">
        <v>385</v>
      </c>
      <c r="I121" s="9">
        <v>44197</v>
      </c>
    </row>
    <row r="122" spans="1:9" x14ac:dyDescent="0.3">
      <c r="A122" s="8" t="s">
        <v>64</v>
      </c>
      <c r="B122" s="8" t="s">
        <v>381</v>
      </c>
      <c r="C122" s="8" t="s">
        <v>389</v>
      </c>
      <c r="D122" s="10" t="s">
        <v>390</v>
      </c>
      <c r="E122" s="8" t="s">
        <v>391</v>
      </c>
      <c r="F122" s="8" t="s">
        <v>392</v>
      </c>
      <c r="G122" s="8" t="s">
        <v>393</v>
      </c>
      <c r="H122" s="8" t="s">
        <v>394</v>
      </c>
      <c r="I122" s="9">
        <v>43500</v>
      </c>
    </row>
    <row r="123" spans="1:9" x14ac:dyDescent="0.3">
      <c r="A123" s="8" t="s">
        <v>395</v>
      </c>
      <c r="B123" s="8" t="s">
        <v>395</v>
      </c>
      <c r="C123" s="8" t="s">
        <v>396</v>
      </c>
      <c r="D123" s="8">
        <v>938</v>
      </c>
      <c r="E123" s="8" t="s">
        <v>397</v>
      </c>
      <c r="F123" s="8" t="s">
        <v>398</v>
      </c>
      <c r="G123" s="8" t="s">
        <v>35</v>
      </c>
      <c r="H123" s="8" t="s">
        <v>399</v>
      </c>
      <c r="I123" s="9">
        <v>45964</v>
      </c>
    </row>
    <row r="124" spans="1:9" x14ac:dyDescent="0.3">
      <c r="A124" s="8" t="s">
        <v>397</v>
      </c>
      <c r="B124" s="8" t="s">
        <v>397</v>
      </c>
      <c r="C124" s="8" t="s">
        <v>400</v>
      </c>
      <c r="D124" s="8">
        <v>439</v>
      </c>
      <c r="E124" s="8" t="s">
        <v>401</v>
      </c>
      <c r="F124" s="8" t="s">
        <v>402</v>
      </c>
      <c r="G124" s="8" t="s">
        <v>35</v>
      </c>
      <c r="H124" s="8" t="s">
        <v>399</v>
      </c>
      <c r="I124" s="9">
        <v>44543</v>
      </c>
    </row>
    <row r="125" spans="1:9" x14ac:dyDescent="0.3">
      <c r="A125" s="8" t="s">
        <v>397</v>
      </c>
      <c r="B125" s="8" t="s">
        <v>397</v>
      </c>
      <c r="C125" s="8" t="s">
        <v>403</v>
      </c>
      <c r="D125" s="8">
        <v>880</v>
      </c>
      <c r="E125" s="8" t="s">
        <v>404</v>
      </c>
      <c r="F125" s="8" t="s">
        <v>405</v>
      </c>
      <c r="G125" s="8" t="s">
        <v>35</v>
      </c>
      <c r="H125" s="8" t="s">
        <v>399</v>
      </c>
      <c r="I125" s="9">
        <v>45789</v>
      </c>
    </row>
    <row r="126" spans="1:9" x14ac:dyDescent="0.3">
      <c r="A126" s="8" t="s">
        <v>397</v>
      </c>
      <c r="B126" s="8" t="s">
        <v>397</v>
      </c>
      <c r="C126" s="8" t="s">
        <v>406</v>
      </c>
      <c r="D126" s="8">
        <v>599</v>
      </c>
      <c r="E126" s="8" t="s">
        <v>407</v>
      </c>
      <c r="F126" s="8" t="s">
        <v>408</v>
      </c>
      <c r="G126" s="8" t="s">
        <v>35</v>
      </c>
      <c r="H126" s="8" t="s">
        <v>399</v>
      </c>
      <c r="I126" s="9">
        <v>45041</v>
      </c>
    </row>
    <row r="127" spans="1:9" x14ac:dyDescent="0.3">
      <c r="A127" s="8" t="s">
        <v>397</v>
      </c>
      <c r="B127" s="8" t="s">
        <v>397</v>
      </c>
      <c r="C127" s="8" t="s">
        <v>409</v>
      </c>
      <c r="D127" s="8">
        <v>441</v>
      </c>
      <c r="E127" s="8" t="s">
        <v>410</v>
      </c>
      <c r="F127" s="8" t="s">
        <v>411</v>
      </c>
      <c r="G127" s="8" t="s">
        <v>35</v>
      </c>
      <c r="H127" s="8" t="s">
        <v>399</v>
      </c>
      <c r="I127" s="9">
        <v>44546</v>
      </c>
    </row>
    <row r="128" spans="1:9" x14ac:dyDescent="0.3">
      <c r="A128" s="8" t="s">
        <v>397</v>
      </c>
      <c r="B128" s="8" t="s">
        <v>397</v>
      </c>
      <c r="C128" s="8" t="s">
        <v>412</v>
      </c>
      <c r="D128" s="8">
        <v>778</v>
      </c>
      <c r="E128" s="8" t="s">
        <v>413</v>
      </c>
      <c r="F128" s="8" t="s">
        <v>414</v>
      </c>
      <c r="G128" s="8" t="s">
        <v>35</v>
      </c>
      <c r="H128" s="8" t="s">
        <v>399</v>
      </c>
      <c r="I128" s="9">
        <v>45580</v>
      </c>
    </row>
    <row r="129" spans="1:9" x14ac:dyDescent="0.3">
      <c r="A129" s="8" t="s">
        <v>415</v>
      </c>
      <c r="B129" s="8" t="s">
        <v>284</v>
      </c>
      <c r="C129" s="8" t="s">
        <v>416</v>
      </c>
      <c r="D129" s="8">
        <v>274</v>
      </c>
      <c r="E129" s="8" t="s">
        <v>417</v>
      </c>
      <c r="F129" s="8" t="s">
        <v>418</v>
      </c>
      <c r="G129" s="8" t="s">
        <v>35</v>
      </c>
      <c r="H129" s="8" t="s">
        <v>274</v>
      </c>
      <c r="I129" s="9">
        <v>43416</v>
      </c>
    </row>
    <row r="130" spans="1:9" x14ac:dyDescent="0.3">
      <c r="A130" s="8" t="s">
        <v>415</v>
      </c>
      <c r="B130" s="8" t="s">
        <v>284</v>
      </c>
      <c r="C130" s="8" t="s">
        <v>419</v>
      </c>
      <c r="D130" s="8">
        <v>663</v>
      </c>
      <c r="E130" s="8" t="s">
        <v>29</v>
      </c>
      <c r="F130" s="8" t="s">
        <v>420</v>
      </c>
      <c r="G130" s="8" t="s">
        <v>35</v>
      </c>
      <c r="H130" s="8" t="s">
        <v>36</v>
      </c>
      <c r="I130" s="9">
        <v>45306</v>
      </c>
    </row>
    <row r="131" spans="1:9" x14ac:dyDescent="0.3">
      <c r="A131" s="8" t="s">
        <v>183</v>
      </c>
      <c r="B131" s="8" t="s">
        <v>183</v>
      </c>
      <c r="C131" s="8" t="s">
        <v>421</v>
      </c>
      <c r="D131" s="8">
        <v>451</v>
      </c>
      <c r="E131" s="8" t="s">
        <v>182</v>
      </c>
      <c r="F131" s="8" t="s">
        <v>422</v>
      </c>
      <c r="G131" s="8" t="s">
        <v>35</v>
      </c>
      <c r="H131" s="8" t="s">
        <v>423</v>
      </c>
      <c r="I131" s="9">
        <v>44573</v>
      </c>
    </row>
    <row r="132" spans="1:9" x14ac:dyDescent="0.3">
      <c r="A132" s="8" t="s">
        <v>183</v>
      </c>
      <c r="B132" s="8" t="s">
        <v>183</v>
      </c>
      <c r="C132" s="8" t="s">
        <v>424</v>
      </c>
      <c r="D132" s="8">
        <v>800</v>
      </c>
      <c r="E132" s="8" t="s">
        <v>425</v>
      </c>
      <c r="F132" s="8" t="s">
        <v>426</v>
      </c>
      <c r="G132" s="8" t="s">
        <v>35</v>
      </c>
      <c r="H132" s="8" t="s">
        <v>423</v>
      </c>
      <c r="I132" s="9">
        <v>45642</v>
      </c>
    </row>
    <row r="133" spans="1:9" x14ac:dyDescent="0.3">
      <c r="A133" s="8" t="s">
        <v>183</v>
      </c>
      <c r="B133" s="8" t="s">
        <v>183</v>
      </c>
      <c r="C133" s="8" t="s">
        <v>427</v>
      </c>
      <c r="D133" s="8">
        <v>933</v>
      </c>
      <c r="E133" s="8" t="s">
        <v>255</v>
      </c>
      <c r="F133" s="8" t="s">
        <v>428</v>
      </c>
      <c r="G133" s="8" t="s">
        <v>35</v>
      </c>
      <c r="H133" s="8" t="s">
        <v>423</v>
      </c>
      <c r="I133" s="9">
        <v>45964</v>
      </c>
    </row>
    <row r="134" spans="1:9" x14ac:dyDescent="0.3">
      <c r="A134" s="8" t="s">
        <v>417</v>
      </c>
      <c r="B134" s="8" t="s">
        <v>417</v>
      </c>
      <c r="C134" s="8" t="s">
        <v>429</v>
      </c>
      <c r="D134" s="8">
        <v>779</v>
      </c>
      <c r="E134" s="8" t="s">
        <v>430</v>
      </c>
      <c r="F134" s="8" t="s">
        <v>273</v>
      </c>
      <c r="G134" s="8" t="s">
        <v>35</v>
      </c>
      <c r="H134" s="8" t="s">
        <v>431</v>
      </c>
      <c r="I134" s="9">
        <v>45586</v>
      </c>
    </row>
    <row r="135" spans="1:9" x14ac:dyDescent="0.3">
      <c r="A135" s="8" t="s">
        <v>417</v>
      </c>
      <c r="B135" s="8" t="s">
        <v>417</v>
      </c>
      <c r="C135" s="8" t="s">
        <v>432</v>
      </c>
      <c r="D135" s="8">
        <v>882</v>
      </c>
      <c r="E135" s="8" t="s">
        <v>433</v>
      </c>
      <c r="F135" s="8" t="s">
        <v>273</v>
      </c>
      <c r="G135" s="8" t="s">
        <v>35</v>
      </c>
      <c r="H135" s="8" t="s">
        <v>431</v>
      </c>
      <c r="I135" s="9">
        <v>45789</v>
      </c>
    </row>
    <row r="136" spans="1:9" x14ac:dyDescent="0.3">
      <c r="A136" s="8" t="s">
        <v>417</v>
      </c>
      <c r="B136" s="8" t="s">
        <v>417</v>
      </c>
      <c r="C136" s="8" t="s">
        <v>434</v>
      </c>
      <c r="D136" s="8">
        <v>861</v>
      </c>
      <c r="E136" s="8" t="s">
        <v>435</v>
      </c>
      <c r="F136" s="8" t="s">
        <v>273</v>
      </c>
      <c r="G136" s="8" t="s">
        <v>35</v>
      </c>
      <c r="H136" s="8" t="s">
        <v>431</v>
      </c>
      <c r="I136" s="9">
        <v>45761</v>
      </c>
    </row>
    <row r="137" spans="1:9" x14ac:dyDescent="0.3">
      <c r="A137" s="8" t="s">
        <v>417</v>
      </c>
      <c r="B137" s="8" t="s">
        <v>417</v>
      </c>
      <c r="C137" s="8" t="s">
        <v>436</v>
      </c>
      <c r="D137" s="8">
        <v>578</v>
      </c>
      <c r="E137" s="8" t="s">
        <v>437</v>
      </c>
      <c r="F137" s="8" t="s">
        <v>438</v>
      </c>
      <c r="G137" s="8" t="s">
        <v>35</v>
      </c>
      <c r="H137" s="8" t="s">
        <v>431</v>
      </c>
      <c r="I137" s="9">
        <v>44958</v>
      </c>
    </row>
    <row r="138" spans="1:9" x14ac:dyDescent="0.3">
      <c r="A138" s="8" t="s">
        <v>417</v>
      </c>
      <c r="B138" s="8" t="s">
        <v>417</v>
      </c>
      <c r="C138" s="8" t="s">
        <v>439</v>
      </c>
      <c r="D138" s="10" t="s">
        <v>440</v>
      </c>
      <c r="E138" s="8" t="s">
        <v>270</v>
      </c>
      <c r="F138" s="8" t="s">
        <v>441</v>
      </c>
      <c r="G138" s="8" t="s">
        <v>35</v>
      </c>
      <c r="H138" s="8" t="s">
        <v>274</v>
      </c>
      <c r="I138" s="9">
        <v>45810</v>
      </c>
    </row>
    <row r="139" spans="1:9" x14ac:dyDescent="0.3">
      <c r="A139" s="8" t="s">
        <v>417</v>
      </c>
      <c r="B139" s="8" t="s">
        <v>417</v>
      </c>
      <c r="C139" s="8" t="s">
        <v>442</v>
      </c>
      <c r="D139" s="8">
        <v>292</v>
      </c>
      <c r="E139" s="8" t="s">
        <v>443</v>
      </c>
      <c r="F139" s="8" t="s">
        <v>444</v>
      </c>
      <c r="G139" s="8" t="s">
        <v>35</v>
      </c>
      <c r="H139" s="8" t="s">
        <v>445</v>
      </c>
      <c r="I139" s="9">
        <v>43556</v>
      </c>
    </row>
    <row r="140" spans="1:9" x14ac:dyDescent="0.3">
      <c r="A140" s="8" t="s">
        <v>417</v>
      </c>
      <c r="B140" s="8" t="s">
        <v>417</v>
      </c>
      <c r="C140" s="8" t="s">
        <v>446</v>
      </c>
      <c r="D140" s="8">
        <v>388</v>
      </c>
      <c r="E140" s="8" t="s">
        <v>447</v>
      </c>
      <c r="F140" s="8" t="s">
        <v>448</v>
      </c>
      <c r="G140" s="8" t="s">
        <v>35</v>
      </c>
      <c r="H140" s="8" t="s">
        <v>445</v>
      </c>
      <c r="I140" s="9">
        <v>44348</v>
      </c>
    </row>
    <row r="141" spans="1:9" x14ac:dyDescent="0.3">
      <c r="A141" s="8" t="s">
        <v>417</v>
      </c>
      <c r="B141" s="8" t="s">
        <v>417</v>
      </c>
      <c r="C141" s="8" t="s">
        <v>449</v>
      </c>
      <c r="D141" s="8">
        <v>431</v>
      </c>
      <c r="E141" s="8" t="s">
        <v>450</v>
      </c>
      <c r="F141" s="8" t="s">
        <v>451</v>
      </c>
      <c r="G141" s="8" t="s">
        <v>35</v>
      </c>
      <c r="H141" s="8" t="s">
        <v>445</v>
      </c>
      <c r="I141" s="9">
        <v>44522</v>
      </c>
    </row>
    <row r="142" spans="1:9" x14ac:dyDescent="0.3">
      <c r="A142" s="8" t="s">
        <v>417</v>
      </c>
      <c r="B142" s="8" t="s">
        <v>417</v>
      </c>
      <c r="C142" s="8" t="s">
        <v>452</v>
      </c>
      <c r="D142" s="8">
        <v>244</v>
      </c>
      <c r="E142" s="8" t="s">
        <v>453</v>
      </c>
      <c r="F142" s="8" t="s">
        <v>454</v>
      </c>
      <c r="G142" s="8" t="s">
        <v>35</v>
      </c>
      <c r="H142" s="8" t="s">
        <v>274</v>
      </c>
      <c r="I142" s="9">
        <v>43160</v>
      </c>
    </row>
    <row r="143" spans="1:9" x14ac:dyDescent="0.3">
      <c r="A143" s="8" t="s">
        <v>455</v>
      </c>
      <c r="B143" s="8" t="s">
        <v>298</v>
      </c>
      <c r="C143" s="8" t="s">
        <v>456</v>
      </c>
      <c r="D143" s="8">
        <v>851</v>
      </c>
      <c r="E143" s="8" t="s">
        <v>457</v>
      </c>
      <c r="F143" s="8" t="s">
        <v>305</v>
      </c>
      <c r="G143" s="8" t="s">
        <v>35</v>
      </c>
      <c r="H143" s="8" t="s">
        <v>458</v>
      </c>
      <c r="I143" s="9">
        <v>45722</v>
      </c>
    </row>
    <row r="144" spans="1:9" x14ac:dyDescent="0.3">
      <c r="A144" s="8" t="s">
        <v>455</v>
      </c>
      <c r="B144" s="8" t="s">
        <v>298</v>
      </c>
      <c r="C144" s="8" t="s">
        <v>459</v>
      </c>
      <c r="D144" s="8">
        <v>958</v>
      </c>
      <c r="E144" s="8" t="s">
        <v>460</v>
      </c>
      <c r="F144" s="8" t="s">
        <v>312</v>
      </c>
      <c r="G144" s="8" t="s">
        <v>35</v>
      </c>
      <c r="H144" s="8" t="s">
        <v>458</v>
      </c>
      <c r="I144" s="9">
        <v>46027</v>
      </c>
    </row>
    <row r="145" spans="1:9" x14ac:dyDescent="0.3">
      <c r="A145" s="8" t="s">
        <v>287</v>
      </c>
      <c r="B145" s="8" t="s">
        <v>291</v>
      </c>
      <c r="C145" s="8" t="s">
        <v>461</v>
      </c>
      <c r="D145" s="10">
        <v>0</v>
      </c>
      <c r="E145" s="8" t="s">
        <v>462</v>
      </c>
      <c r="F145" s="8" t="s">
        <v>463</v>
      </c>
      <c r="G145" s="8" t="s">
        <v>35</v>
      </c>
      <c r="H145" s="8" t="s">
        <v>464</v>
      </c>
      <c r="I145" s="9">
        <v>45873</v>
      </c>
    </row>
    <row r="146" spans="1:9" x14ac:dyDescent="0.3">
      <c r="A146" s="8" t="s">
        <v>287</v>
      </c>
      <c r="B146" s="8" t="s">
        <v>291</v>
      </c>
      <c r="C146" s="8" t="s">
        <v>465</v>
      </c>
      <c r="D146" s="8">
        <v>844</v>
      </c>
      <c r="E146" s="8" t="s">
        <v>466</v>
      </c>
      <c r="F146" s="8" t="s">
        <v>467</v>
      </c>
      <c r="G146" s="8" t="s">
        <v>35</v>
      </c>
      <c r="H146" s="8" t="s">
        <v>468</v>
      </c>
      <c r="I146" s="9">
        <v>45722</v>
      </c>
    </row>
    <row r="147" spans="1:9" x14ac:dyDescent="0.3">
      <c r="A147" s="8" t="s">
        <v>287</v>
      </c>
      <c r="B147" s="8" t="s">
        <v>291</v>
      </c>
      <c r="C147" s="8" t="s">
        <v>469</v>
      </c>
      <c r="D147" s="10">
        <v>0</v>
      </c>
      <c r="E147" t="s">
        <v>470</v>
      </c>
      <c r="F147" s="8" t="s">
        <v>471</v>
      </c>
      <c r="G147" s="8" t="s">
        <v>35</v>
      </c>
      <c r="H147" s="8" t="s">
        <v>464</v>
      </c>
      <c r="I147" s="9">
        <v>45873</v>
      </c>
    </row>
    <row r="148" spans="1:9" x14ac:dyDescent="0.3">
      <c r="A148" s="8" t="s">
        <v>291</v>
      </c>
      <c r="B148" s="8" t="s">
        <v>291</v>
      </c>
      <c r="C148" s="8" t="s">
        <v>472</v>
      </c>
      <c r="D148" s="8">
        <v>575</v>
      </c>
      <c r="E148" t="s">
        <v>341</v>
      </c>
      <c r="F148" s="8" t="s">
        <v>473</v>
      </c>
      <c r="G148" s="8" t="s">
        <v>35</v>
      </c>
      <c r="H148" s="8" t="s">
        <v>293</v>
      </c>
      <c r="I148" s="9">
        <v>44951</v>
      </c>
    </row>
    <row r="149" spans="1:9" x14ac:dyDescent="0.3">
      <c r="A149" s="8" t="s">
        <v>291</v>
      </c>
      <c r="B149" s="8" t="s">
        <v>291</v>
      </c>
      <c r="C149" s="8" t="s">
        <v>474</v>
      </c>
      <c r="D149" s="10" t="s">
        <v>475</v>
      </c>
      <c r="E149" t="s">
        <v>476</v>
      </c>
      <c r="F149" s="8" t="s">
        <v>477</v>
      </c>
      <c r="G149" s="8" t="s">
        <v>35</v>
      </c>
      <c r="H149" s="8" t="s">
        <v>293</v>
      </c>
      <c r="I149" s="9">
        <v>45936</v>
      </c>
    </row>
    <row r="150" spans="1:9" x14ac:dyDescent="0.3">
      <c r="A150" s="8" t="s">
        <v>287</v>
      </c>
      <c r="B150" s="8" t="s">
        <v>291</v>
      </c>
      <c r="C150" s="8" t="s">
        <v>478</v>
      </c>
      <c r="D150" s="10" t="s">
        <v>479</v>
      </c>
      <c r="E150" t="s">
        <v>480</v>
      </c>
      <c r="F150" s="8" t="s">
        <v>481</v>
      </c>
      <c r="G150" s="8" t="s">
        <v>35</v>
      </c>
      <c r="H150" s="8" t="s">
        <v>464</v>
      </c>
      <c r="I150" s="9">
        <v>46027</v>
      </c>
    </row>
    <row r="151" spans="1:9" x14ac:dyDescent="0.3">
      <c r="A151" s="8" t="s">
        <v>482</v>
      </c>
      <c r="B151" s="8" t="s">
        <v>482</v>
      </c>
      <c r="C151" s="8" t="s">
        <v>483</v>
      </c>
      <c r="D151" s="8">
        <v>611</v>
      </c>
      <c r="E151" s="8" t="s">
        <v>484</v>
      </c>
      <c r="F151" s="8" t="s">
        <v>12</v>
      </c>
      <c r="G151" s="8" t="s">
        <v>13</v>
      </c>
      <c r="H151" s="8" t="s">
        <v>485</v>
      </c>
      <c r="I151" s="9">
        <v>45082</v>
      </c>
    </row>
    <row r="152" spans="1:9" x14ac:dyDescent="0.3">
      <c r="A152" s="8" t="s">
        <v>482</v>
      </c>
      <c r="B152" s="8" t="s">
        <v>482</v>
      </c>
      <c r="C152" s="8" t="s">
        <v>486</v>
      </c>
      <c r="D152" s="8">
        <v>474</v>
      </c>
      <c r="E152" s="8" t="s">
        <v>487</v>
      </c>
      <c r="F152" s="8" t="s">
        <v>12</v>
      </c>
      <c r="G152" s="8" t="s">
        <v>13</v>
      </c>
      <c r="H152" s="8" t="s">
        <v>485</v>
      </c>
      <c r="I152" s="9">
        <v>44641</v>
      </c>
    </row>
    <row r="153" spans="1:9" x14ac:dyDescent="0.3">
      <c r="A153" s="8" t="s">
        <v>482</v>
      </c>
      <c r="B153" s="8" t="s">
        <v>482</v>
      </c>
      <c r="C153" s="8" t="s">
        <v>488</v>
      </c>
      <c r="D153" s="8">
        <v>545</v>
      </c>
      <c r="E153" s="8" t="s">
        <v>489</v>
      </c>
      <c r="F153" s="8" t="s">
        <v>12</v>
      </c>
      <c r="G153" s="8" t="s">
        <v>13</v>
      </c>
      <c r="H153" s="8" t="s">
        <v>485</v>
      </c>
      <c r="I153" s="9">
        <v>44900</v>
      </c>
    </row>
    <row r="154" spans="1:9" x14ac:dyDescent="0.3">
      <c r="A154" s="8" t="s">
        <v>482</v>
      </c>
      <c r="B154" s="8" t="s">
        <v>482</v>
      </c>
      <c r="C154" s="8" t="s">
        <v>490</v>
      </c>
      <c r="D154" s="8">
        <v>829</v>
      </c>
      <c r="E154" s="8" t="s">
        <v>491</v>
      </c>
      <c r="F154" s="8" t="s">
        <v>12</v>
      </c>
      <c r="G154" s="8" t="s">
        <v>13</v>
      </c>
      <c r="H154" s="8" t="s">
        <v>485</v>
      </c>
      <c r="I154" s="9">
        <v>45705</v>
      </c>
    </row>
    <row r="155" spans="1:9" x14ac:dyDescent="0.3">
      <c r="A155" s="8" t="s">
        <v>482</v>
      </c>
      <c r="B155" s="8" t="s">
        <v>482</v>
      </c>
      <c r="C155" s="8" t="s">
        <v>492</v>
      </c>
      <c r="D155" s="8">
        <v>830</v>
      </c>
      <c r="E155" s="8" t="s">
        <v>493</v>
      </c>
      <c r="F155" s="8" t="s">
        <v>12</v>
      </c>
      <c r="G155" s="8" t="s">
        <v>13</v>
      </c>
      <c r="H155" s="8" t="s">
        <v>485</v>
      </c>
      <c r="I155" s="9">
        <v>45705</v>
      </c>
    </row>
    <row r="156" spans="1:9" x14ac:dyDescent="0.3">
      <c r="A156" s="8" t="s">
        <v>482</v>
      </c>
      <c r="B156" s="8" t="s">
        <v>482</v>
      </c>
      <c r="C156" s="8" t="s">
        <v>494</v>
      </c>
      <c r="D156" s="8">
        <v>853</v>
      </c>
      <c r="E156" s="8" t="s">
        <v>495</v>
      </c>
      <c r="F156" s="8" t="s">
        <v>12</v>
      </c>
      <c r="G156" s="8" t="s">
        <v>13</v>
      </c>
      <c r="H156" s="8" t="s">
        <v>485</v>
      </c>
      <c r="I156" s="9">
        <v>45722</v>
      </c>
    </row>
    <row r="157" spans="1:9" x14ac:dyDescent="0.3">
      <c r="A157" s="8" t="s">
        <v>496</v>
      </c>
      <c r="B157" s="8" t="s">
        <v>482</v>
      </c>
      <c r="C157" s="8" t="s">
        <v>497</v>
      </c>
      <c r="D157" s="8">
        <v>552</v>
      </c>
      <c r="E157" s="8" t="s">
        <v>498</v>
      </c>
      <c r="F157" s="8" t="s">
        <v>213</v>
      </c>
      <c r="G157" s="8" t="s">
        <v>13</v>
      </c>
      <c r="H157" s="8" t="s">
        <v>485</v>
      </c>
      <c r="I157" s="9">
        <v>44921</v>
      </c>
    </row>
    <row r="158" spans="1:9" x14ac:dyDescent="0.3">
      <c r="A158" s="8" t="s">
        <v>326</v>
      </c>
      <c r="B158" s="8" t="s">
        <v>326</v>
      </c>
      <c r="C158" s="8" t="s">
        <v>499</v>
      </c>
      <c r="D158" s="8">
        <v>686</v>
      </c>
      <c r="E158" s="8" t="s">
        <v>225</v>
      </c>
      <c r="F158" s="8" t="s">
        <v>500</v>
      </c>
      <c r="G158" s="8" t="s">
        <v>35</v>
      </c>
      <c r="H158" s="8" t="s">
        <v>229</v>
      </c>
      <c r="I158" s="9">
        <v>45357</v>
      </c>
    </row>
    <row r="159" spans="1:9" x14ac:dyDescent="0.3">
      <c r="A159" s="8" t="s">
        <v>326</v>
      </c>
      <c r="B159" s="8" t="s">
        <v>326</v>
      </c>
      <c r="C159" s="8" t="s">
        <v>501</v>
      </c>
      <c r="D159" s="8">
        <v>596</v>
      </c>
      <c r="E159" s="8" t="s">
        <v>325</v>
      </c>
      <c r="F159" s="8" t="s">
        <v>500</v>
      </c>
      <c r="G159" s="8" t="s">
        <v>35</v>
      </c>
      <c r="H159" s="8" t="s">
        <v>329</v>
      </c>
      <c r="I159" s="9">
        <v>45019</v>
      </c>
    </row>
    <row r="160" spans="1:9" x14ac:dyDescent="0.3">
      <c r="A160" s="8" t="s">
        <v>326</v>
      </c>
      <c r="B160" s="8" t="s">
        <v>326</v>
      </c>
      <c r="C160" s="8" t="s">
        <v>502</v>
      </c>
      <c r="D160" s="8">
        <v>283</v>
      </c>
      <c r="E160" s="8" t="s">
        <v>503</v>
      </c>
      <c r="F160" s="8" t="s">
        <v>500</v>
      </c>
      <c r="G160" s="8" t="s">
        <v>35</v>
      </c>
      <c r="H160" s="8" t="s">
        <v>504</v>
      </c>
      <c r="I160" s="9">
        <v>43509</v>
      </c>
    </row>
    <row r="161" spans="1:9" x14ac:dyDescent="0.3">
      <c r="A161" s="8" t="s">
        <v>505</v>
      </c>
      <c r="B161" s="8" t="s">
        <v>166</v>
      </c>
      <c r="C161" s="8" t="s">
        <v>506</v>
      </c>
      <c r="D161" s="8">
        <v>956</v>
      </c>
      <c r="E161" s="8" t="s">
        <v>507</v>
      </c>
      <c r="F161" s="8" t="s">
        <v>175</v>
      </c>
      <c r="G161" s="8" t="s">
        <v>35</v>
      </c>
      <c r="H161" s="8" t="s">
        <v>508</v>
      </c>
      <c r="I161" s="9">
        <v>46006</v>
      </c>
    </row>
    <row r="162" spans="1:9" x14ac:dyDescent="0.3">
      <c r="A162" s="8" t="s">
        <v>505</v>
      </c>
      <c r="B162" s="8" t="s">
        <v>166</v>
      </c>
      <c r="C162" s="8" t="s">
        <v>509</v>
      </c>
      <c r="D162" s="8">
        <v>773</v>
      </c>
      <c r="E162" s="8" t="s">
        <v>510</v>
      </c>
      <c r="F162" s="8" t="s">
        <v>232</v>
      </c>
      <c r="G162" s="8" t="s">
        <v>35</v>
      </c>
      <c r="H162" s="8" t="s">
        <v>508</v>
      </c>
      <c r="I162" s="9">
        <v>45566</v>
      </c>
    </row>
    <row r="163" spans="1:9" x14ac:dyDescent="0.3">
      <c r="A163" s="8" t="s">
        <v>505</v>
      </c>
      <c r="B163" s="8" t="s">
        <v>166</v>
      </c>
      <c r="C163" s="8" t="s">
        <v>511</v>
      </c>
      <c r="D163" s="10">
        <v>0</v>
      </c>
      <c r="E163" s="8" t="s">
        <v>512</v>
      </c>
      <c r="F163" s="8" t="s">
        <v>232</v>
      </c>
      <c r="G163" s="8" t="s">
        <v>35</v>
      </c>
      <c r="H163" s="8" t="s">
        <v>508</v>
      </c>
      <c r="I163" s="9">
        <v>46041</v>
      </c>
    </row>
    <row r="164" spans="1:9" x14ac:dyDescent="0.3">
      <c r="A164" s="8" t="s">
        <v>505</v>
      </c>
      <c r="B164" s="8" t="s">
        <v>166</v>
      </c>
      <c r="C164" s="8" t="s">
        <v>513</v>
      </c>
      <c r="D164" s="8">
        <v>885</v>
      </c>
      <c r="E164" s="8" t="s">
        <v>514</v>
      </c>
      <c r="F164" s="8" t="s">
        <v>235</v>
      </c>
      <c r="G164" s="8" t="s">
        <v>35</v>
      </c>
      <c r="H164" s="8" t="s">
        <v>508</v>
      </c>
      <c r="I164" s="9">
        <v>45810</v>
      </c>
    </row>
    <row r="165" spans="1:9" x14ac:dyDescent="0.3">
      <c r="A165" s="8" t="s">
        <v>515</v>
      </c>
      <c r="B165" s="8" t="s">
        <v>395</v>
      </c>
      <c r="C165" s="8" t="s">
        <v>516</v>
      </c>
      <c r="D165" s="8">
        <v>493</v>
      </c>
      <c r="E165" s="8" t="s">
        <v>517</v>
      </c>
      <c r="F165" s="8" t="s">
        <v>518</v>
      </c>
      <c r="G165" s="8" t="s">
        <v>35</v>
      </c>
      <c r="H165" s="8" t="s">
        <v>519</v>
      </c>
      <c r="I165" s="9">
        <v>44718</v>
      </c>
    </row>
    <row r="166" spans="1:9" x14ac:dyDescent="0.3">
      <c r="A166" s="8" t="s">
        <v>520</v>
      </c>
      <c r="B166" s="8" t="s">
        <v>520</v>
      </c>
      <c r="C166" s="8" t="s">
        <v>521</v>
      </c>
      <c r="D166" s="10" t="s">
        <v>522</v>
      </c>
      <c r="E166" s="8" t="s">
        <v>523</v>
      </c>
      <c r="F166" s="8" t="s">
        <v>524</v>
      </c>
      <c r="G166" s="8" t="s">
        <v>35</v>
      </c>
      <c r="H166" s="8" t="s">
        <v>345</v>
      </c>
      <c r="I166" s="9">
        <v>45041</v>
      </c>
    </row>
    <row r="167" spans="1:9" x14ac:dyDescent="0.3">
      <c r="A167" s="8" t="s">
        <v>520</v>
      </c>
      <c r="B167" s="8" t="s">
        <v>520</v>
      </c>
      <c r="C167" s="8" t="s">
        <v>525</v>
      </c>
      <c r="D167" s="10" t="s">
        <v>526</v>
      </c>
      <c r="E167" s="8" t="s">
        <v>527</v>
      </c>
      <c r="F167" s="8" t="s">
        <v>524</v>
      </c>
      <c r="G167" s="8" t="s">
        <v>35</v>
      </c>
      <c r="H167" s="8" t="s">
        <v>345</v>
      </c>
      <c r="I167" s="9">
        <v>44907</v>
      </c>
    </row>
    <row r="168" spans="1:9" x14ac:dyDescent="0.3">
      <c r="A168" s="8" t="s">
        <v>520</v>
      </c>
      <c r="B168" s="8" t="s">
        <v>520</v>
      </c>
      <c r="C168" s="8" t="s">
        <v>528</v>
      </c>
      <c r="D168" s="10" t="s">
        <v>529</v>
      </c>
      <c r="E168" s="8" t="s">
        <v>530</v>
      </c>
      <c r="F168" s="8" t="s">
        <v>524</v>
      </c>
      <c r="G168" s="8" t="s">
        <v>35</v>
      </c>
      <c r="H168" s="8" t="s">
        <v>345</v>
      </c>
      <c r="I168" s="9">
        <v>44894</v>
      </c>
    </row>
    <row r="169" spans="1:9" x14ac:dyDescent="0.3">
      <c r="A169" s="8" t="s">
        <v>520</v>
      </c>
      <c r="B169" s="8" t="s">
        <v>520</v>
      </c>
      <c r="C169" s="8" t="s">
        <v>531</v>
      </c>
      <c r="D169" s="10" t="s">
        <v>532</v>
      </c>
      <c r="E169" s="8" t="s">
        <v>533</v>
      </c>
      <c r="F169" s="8" t="s">
        <v>301</v>
      </c>
      <c r="G169" s="8" t="s">
        <v>35</v>
      </c>
      <c r="H169" s="8" t="s">
        <v>345</v>
      </c>
      <c r="I169" s="9">
        <v>45170</v>
      </c>
    </row>
    <row r="170" spans="1:9" x14ac:dyDescent="0.3">
      <c r="A170" s="8" t="s">
        <v>520</v>
      </c>
      <c r="B170" s="8" t="s">
        <v>520</v>
      </c>
      <c r="C170" s="8" t="s">
        <v>534</v>
      </c>
      <c r="D170" s="8">
        <v>924</v>
      </c>
      <c r="E170" s="8" t="s">
        <v>535</v>
      </c>
      <c r="F170" s="8" t="s">
        <v>301</v>
      </c>
      <c r="G170" s="8" t="s">
        <v>35</v>
      </c>
      <c r="H170" s="8" t="s">
        <v>345</v>
      </c>
      <c r="I170" s="9">
        <v>45915</v>
      </c>
    </row>
    <row r="171" spans="1:9" x14ac:dyDescent="0.3">
      <c r="A171" s="8" t="s">
        <v>520</v>
      </c>
      <c r="B171" s="8" t="s">
        <v>520</v>
      </c>
      <c r="C171" s="8" t="s">
        <v>536</v>
      </c>
      <c r="D171" s="10" t="s">
        <v>537</v>
      </c>
      <c r="E171" s="8" t="s">
        <v>538</v>
      </c>
      <c r="F171" s="8" t="s">
        <v>301</v>
      </c>
      <c r="G171" s="8" t="s">
        <v>35</v>
      </c>
      <c r="H171" s="8" t="s">
        <v>345</v>
      </c>
      <c r="I171" s="9">
        <v>45152</v>
      </c>
    </row>
    <row r="172" spans="1:9" x14ac:dyDescent="0.3">
      <c r="A172" t="s">
        <v>520</v>
      </c>
      <c r="B172" t="s">
        <v>520</v>
      </c>
      <c r="C172" t="s">
        <v>539</v>
      </c>
      <c r="D172">
        <v>690</v>
      </c>
      <c r="E172" t="s">
        <v>540</v>
      </c>
      <c r="F172" t="s">
        <v>305</v>
      </c>
      <c r="G172" t="s">
        <v>35</v>
      </c>
      <c r="H172" t="s">
        <v>345</v>
      </c>
      <c r="I172" s="1">
        <v>45366</v>
      </c>
    </row>
    <row r="173" spans="1:9" x14ac:dyDescent="0.3">
      <c r="A173" s="8" t="s">
        <v>520</v>
      </c>
      <c r="B173" s="8" t="s">
        <v>520</v>
      </c>
      <c r="C173" s="8" t="s">
        <v>541</v>
      </c>
      <c r="D173" s="8">
        <v>343</v>
      </c>
      <c r="E173" s="8" t="s">
        <v>542</v>
      </c>
      <c r="F173" s="8" t="s">
        <v>305</v>
      </c>
      <c r="G173" s="8" t="s">
        <v>35</v>
      </c>
      <c r="H173" s="8" t="s">
        <v>345</v>
      </c>
      <c r="I173" s="9">
        <v>43888</v>
      </c>
    </row>
    <row r="174" spans="1:9" x14ac:dyDescent="0.3">
      <c r="A174" s="8" t="s">
        <v>520</v>
      </c>
      <c r="B174" s="8" t="s">
        <v>520</v>
      </c>
      <c r="C174" s="8" t="s">
        <v>543</v>
      </c>
      <c r="D174" s="8">
        <v>236</v>
      </c>
      <c r="E174" s="8" t="s">
        <v>544</v>
      </c>
      <c r="F174" s="8" t="s">
        <v>312</v>
      </c>
      <c r="G174" s="8" t="s">
        <v>35</v>
      </c>
      <c r="H174" s="8" t="s">
        <v>345</v>
      </c>
      <c r="I174" s="9">
        <v>43028</v>
      </c>
    </row>
    <row r="175" spans="1:9" x14ac:dyDescent="0.3">
      <c r="A175" s="8" t="s">
        <v>520</v>
      </c>
      <c r="B175" s="8" t="s">
        <v>520</v>
      </c>
      <c r="C175" s="8" t="s">
        <v>545</v>
      </c>
      <c r="D175" s="10" t="s">
        <v>546</v>
      </c>
      <c r="E175" s="8" t="s">
        <v>547</v>
      </c>
      <c r="F175" s="8" t="s">
        <v>312</v>
      </c>
      <c r="G175" s="8" t="s">
        <v>35</v>
      </c>
      <c r="H175" s="8" t="s">
        <v>345</v>
      </c>
      <c r="I175" s="9">
        <v>45386</v>
      </c>
    </row>
    <row r="176" spans="1:9" x14ac:dyDescent="0.3">
      <c r="A176" s="8" t="s">
        <v>520</v>
      </c>
      <c r="B176" s="8" t="s">
        <v>520</v>
      </c>
      <c r="C176" s="8" t="s">
        <v>548</v>
      </c>
      <c r="D176" s="8">
        <v>922</v>
      </c>
      <c r="E176" s="8" t="s">
        <v>549</v>
      </c>
      <c r="F176" s="8" t="s">
        <v>467</v>
      </c>
      <c r="G176" s="8" t="s">
        <v>35</v>
      </c>
      <c r="H176" s="8" t="s">
        <v>345</v>
      </c>
      <c r="I176" s="9">
        <v>45915</v>
      </c>
    </row>
    <row r="177" spans="1:9" x14ac:dyDescent="0.3">
      <c r="A177" s="8" t="s">
        <v>550</v>
      </c>
      <c r="B177" s="8" t="s">
        <v>551</v>
      </c>
      <c r="C177" s="8" t="s">
        <v>552</v>
      </c>
      <c r="D177" s="10" t="s">
        <v>553</v>
      </c>
      <c r="E177" s="8" t="s">
        <v>48</v>
      </c>
      <c r="F177" s="8" t="s">
        <v>554</v>
      </c>
      <c r="G177" s="8" t="s">
        <v>35</v>
      </c>
      <c r="H177" s="8" t="s">
        <v>555</v>
      </c>
      <c r="I177" s="9">
        <v>37163</v>
      </c>
    </row>
    <row r="178" spans="1:9" x14ac:dyDescent="0.3">
      <c r="A178" s="8" t="s">
        <v>503</v>
      </c>
      <c r="B178" s="8" t="s">
        <v>326</v>
      </c>
      <c r="C178" s="8" t="s">
        <v>556</v>
      </c>
      <c r="D178" s="8">
        <v>634</v>
      </c>
      <c r="E178" s="8" t="s">
        <v>557</v>
      </c>
      <c r="F178" s="8" t="s">
        <v>228</v>
      </c>
      <c r="G178" s="8" t="s">
        <v>35</v>
      </c>
      <c r="H178" s="8" t="s">
        <v>504</v>
      </c>
      <c r="I178" s="9">
        <v>45194</v>
      </c>
    </row>
    <row r="179" spans="1:9" x14ac:dyDescent="0.3">
      <c r="A179" s="8" t="s">
        <v>503</v>
      </c>
      <c r="B179" s="8" t="s">
        <v>326</v>
      </c>
      <c r="C179" s="8" t="s">
        <v>558</v>
      </c>
      <c r="D179" s="8">
        <v>356</v>
      </c>
      <c r="E179" s="8" t="s">
        <v>559</v>
      </c>
      <c r="F179" s="8" t="s">
        <v>175</v>
      </c>
      <c r="G179" s="8" t="s">
        <v>35</v>
      </c>
      <c r="H179" s="8" t="s">
        <v>504</v>
      </c>
      <c r="I179" s="9">
        <v>44097</v>
      </c>
    </row>
    <row r="180" spans="1:9" x14ac:dyDescent="0.3">
      <c r="A180" s="8" t="s">
        <v>503</v>
      </c>
      <c r="B180" s="8" t="s">
        <v>326</v>
      </c>
      <c r="C180" s="8" t="s">
        <v>560</v>
      </c>
      <c r="D180" s="8">
        <v>637</v>
      </c>
      <c r="E180" s="8" t="s">
        <v>561</v>
      </c>
      <c r="F180" s="8" t="s">
        <v>235</v>
      </c>
      <c r="G180" s="8" t="s">
        <v>35</v>
      </c>
      <c r="H180" s="8" t="s">
        <v>504</v>
      </c>
      <c r="I180" s="9">
        <v>45201</v>
      </c>
    </row>
    <row r="181" spans="1:9" x14ac:dyDescent="0.3">
      <c r="A181" s="8" t="s">
        <v>326</v>
      </c>
      <c r="B181" s="8" t="s">
        <v>166</v>
      </c>
      <c r="C181" s="8" t="s">
        <v>562</v>
      </c>
      <c r="D181" s="8">
        <v>434</v>
      </c>
      <c r="E181" s="8" t="s">
        <v>563</v>
      </c>
      <c r="F181" s="8" t="s">
        <v>564</v>
      </c>
      <c r="G181" s="8" t="s">
        <v>35</v>
      </c>
      <c r="H181" s="8" t="s">
        <v>565</v>
      </c>
      <c r="I181" s="9">
        <v>44531</v>
      </c>
    </row>
    <row r="182" spans="1:9" x14ac:dyDescent="0.3">
      <c r="A182" s="8" t="s">
        <v>326</v>
      </c>
      <c r="B182" s="8" t="s">
        <v>166</v>
      </c>
      <c r="C182" s="8" t="s">
        <v>566</v>
      </c>
      <c r="D182" s="8">
        <v>927</v>
      </c>
      <c r="E182" s="8" t="s">
        <v>567</v>
      </c>
      <c r="F182" s="8" t="s">
        <v>228</v>
      </c>
      <c r="G182" s="8" t="s">
        <v>35</v>
      </c>
      <c r="H182" s="8" t="s">
        <v>565</v>
      </c>
      <c r="I182" s="9">
        <v>45915</v>
      </c>
    </row>
    <row r="183" spans="1:9" x14ac:dyDescent="0.3">
      <c r="A183" s="8" t="s">
        <v>326</v>
      </c>
      <c r="B183" s="8" t="s">
        <v>166</v>
      </c>
      <c r="C183" s="8" t="s">
        <v>568</v>
      </c>
      <c r="D183" s="8">
        <v>539</v>
      </c>
      <c r="E183" s="8" t="s">
        <v>515</v>
      </c>
      <c r="F183" s="8" t="s">
        <v>569</v>
      </c>
      <c r="G183" s="8" t="s">
        <v>35</v>
      </c>
      <c r="H183" s="8" t="s">
        <v>519</v>
      </c>
      <c r="I183" s="9">
        <v>44874</v>
      </c>
    </row>
    <row r="184" spans="1:9" x14ac:dyDescent="0.3">
      <c r="A184" s="8" t="s">
        <v>326</v>
      </c>
      <c r="B184" s="8" t="s">
        <v>166</v>
      </c>
      <c r="C184" s="8" t="s">
        <v>570</v>
      </c>
      <c r="D184" s="8">
        <v>684</v>
      </c>
      <c r="E184" s="8" t="s">
        <v>165</v>
      </c>
      <c r="F184" s="8" t="s">
        <v>500</v>
      </c>
      <c r="G184" s="8" t="s">
        <v>35</v>
      </c>
      <c r="H184" s="8" t="s">
        <v>170</v>
      </c>
      <c r="I184" s="9">
        <v>45355</v>
      </c>
    </row>
    <row r="185" spans="1:9" x14ac:dyDescent="0.3">
      <c r="A185" s="8" t="s">
        <v>326</v>
      </c>
      <c r="B185" s="8" t="s">
        <v>166</v>
      </c>
      <c r="C185" s="8" t="s">
        <v>571</v>
      </c>
      <c r="D185" s="8">
        <v>788</v>
      </c>
      <c r="E185" s="8" t="s">
        <v>505</v>
      </c>
      <c r="F185" s="8" t="s">
        <v>500</v>
      </c>
      <c r="G185" s="8" t="s">
        <v>35</v>
      </c>
      <c r="H185" s="8" t="s">
        <v>508</v>
      </c>
      <c r="I185" s="9">
        <v>45614</v>
      </c>
    </row>
    <row r="186" spans="1:9" x14ac:dyDescent="0.3">
      <c r="A186" s="8" t="s">
        <v>9</v>
      </c>
      <c r="B186" s="8" t="s">
        <v>572</v>
      </c>
      <c r="C186" s="8" t="s">
        <v>573</v>
      </c>
      <c r="D186" s="8">
        <v>943</v>
      </c>
      <c r="E186" s="8" t="s">
        <v>574</v>
      </c>
      <c r="F186" s="8" t="s">
        <v>12</v>
      </c>
      <c r="G186" s="8" t="s">
        <v>13</v>
      </c>
      <c r="H186" s="8" t="s">
        <v>14</v>
      </c>
      <c r="I186" s="9">
        <v>45978</v>
      </c>
    </row>
    <row r="187" spans="1:9" x14ac:dyDescent="0.3">
      <c r="A187" s="8" t="s">
        <v>572</v>
      </c>
      <c r="B187" s="8" t="s">
        <v>572</v>
      </c>
      <c r="C187" s="8" t="s">
        <v>575</v>
      </c>
      <c r="D187" s="8">
        <v>430</v>
      </c>
      <c r="E187" s="8" t="s">
        <v>9</v>
      </c>
      <c r="F187" s="8" t="s">
        <v>213</v>
      </c>
      <c r="G187" s="8" t="s">
        <v>13</v>
      </c>
      <c r="H187" s="8" t="s">
        <v>14</v>
      </c>
      <c r="I187" s="9">
        <v>44501</v>
      </c>
    </row>
    <row r="188" spans="1:9" x14ac:dyDescent="0.3">
      <c r="A188" s="8" t="s">
        <v>576</v>
      </c>
      <c r="B188" s="8" t="s">
        <v>576</v>
      </c>
      <c r="C188" s="8" t="s">
        <v>577</v>
      </c>
      <c r="D188" s="10" t="s">
        <v>578</v>
      </c>
      <c r="E188" s="8" t="s">
        <v>579</v>
      </c>
      <c r="F188" s="8" t="s">
        <v>12</v>
      </c>
      <c r="G188" s="8" t="s">
        <v>13</v>
      </c>
      <c r="H188" s="8" t="s">
        <v>485</v>
      </c>
      <c r="I188" s="9">
        <v>46053</v>
      </c>
    </row>
    <row r="189" spans="1:9" x14ac:dyDescent="0.3">
      <c r="A189" s="8" t="s">
        <v>576</v>
      </c>
      <c r="B189" s="8" t="s">
        <v>576</v>
      </c>
      <c r="C189" s="8" t="s">
        <v>580</v>
      </c>
      <c r="D189" s="8">
        <v>610</v>
      </c>
      <c r="E189" s="8" t="s">
        <v>482</v>
      </c>
      <c r="F189" s="8" t="s">
        <v>213</v>
      </c>
      <c r="G189" s="8" t="s">
        <v>13</v>
      </c>
      <c r="H189" s="8" t="s">
        <v>485</v>
      </c>
      <c r="I189" s="9">
        <v>45082</v>
      </c>
    </row>
    <row r="190" spans="1:9" x14ac:dyDescent="0.3">
      <c r="A190" s="8" t="s">
        <v>38</v>
      </c>
      <c r="B190" s="8" t="s">
        <v>30</v>
      </c>
      <c r="C190" s="8" t="s">
        <v>581</v>
      </c>
      <c r="D190" s="8">
        <v>809</v>
      </c>
      <c r="E190" s="8" t="s">
        <v>582</v>
      </c>
      <c r="F190" s="8" t="s">
        <v>583</v>
      </c>
      <c r="G190" s="8" t="s">
        <v>35</v>
      </c>
      <c r="H190" s="8" t="s">
        <v>39</v>
      </c>
      <c r="I190" s="9">
        <v>45677</v>
      </c>
    </row>
    <row r="191" spans="1:9" x14ac:dyDescent="0.3">
      <c r="A191" s="8" t="s">
        <v>38</v>
      </c>
      <c r="B191" s="8" t="s">
        <v>30</v>
      </c>
      <c r="C191" s="8" t="s">
        <v>584</v>
      </c>
      <c r="D191" s="8">
        <v>741</v>
      </c>
      <c r="E191" s="8" t="s">
        <v>585</v>
      </c>
      <c r="F191" s="8" t="s">
        <v>583</v>
      </c>
      <c r="G191" s="8" t="s">
        <v>35</v>
      </c>
      <c r="H191" s="8" t="s">
        <v>39</v>
      </c>
      <c r="I191" s="9">
        <v>45505</v>
      </c>
    </row>
    <row r="192" spans="1:9" x14ac:dyDescent="0.3">
      <c r="A192" s="8" t="s">
        <v>38</v>
      </c>
      <c r="B192" s="8" t="s">
        <v>30</v>
      </c>
      <c r="C192" s="8" t="s">
        <v>586</v>
      </c>
      <c r="D192" s="8">
        <v>902</v>
      </c>
      <c r="E192" s="8" t="s">
        <v>587</v>
      </c>
      <c r="F192" s="8" t="s">
        <v>583</v>
      </c>
      <c r="G192" s="8" t="s">
        <v>35</v>
      </c>
      <c r="H192" s="8" t="s">
        <v>39</v>
      </c>
      <c r="I192" s="9">
        <v>45873</v>
      </c>
    </row>
    <row r="193" spans="1:9" x14ac:dyDescent="0.3">
      <c r="A193" s="8" t="s">
        <v>38</v>
      </c>
      <c r="B193" s="8" t="s">
        <v>30</v>
      </c>
      <c r="C193" s="8" t="s">
        <v>588</v>
      </c>
      <c r="D193" s="8">
        <v>913</v>
      </c>
      <c r="E193" s="8" t="s">
        <v>589</v>
      </c>
      <c r="F193" s="8" t="s">
        <v>583</v>
      </c>
      <c r="G193" s="8" t="s">
        <v>35</v>
      </c>
      <c r="H193" s="8" t="s">
        <v>39</v>
      </c>
      <c r="I193" s="9">
        <v>45887</v>
      </c>
    </row>
    <row r="194" spans="1:9" x14ac:dyDescent="0.3">
      <c r="A194" s="8" t="s">
        <v>38</v>
      </c>
      <c r="B194" s="8" t="s">
        <v>30</v>
      </c>
      <c r="C194" s="8" t="s">
        <v>590</v>
      </c>
      <c r="D194" s="8">
        <v>712</v>
      </c>
      <c r="E194" s="8" t="s">
        <v>591</v>
      </c>
      <c r="F194" s="8" t="s">
        <v>583</v>
      </c>
      <c r="G194" s="8" t="s">
        <v>35</v>
      </c>
      <c r="H194" s="8" t="s">
        <v>39</v>
      </c>
      <c r="I194" s="9">
        <v>45446</v>
      </c>
    </row>
    <row r="195" spans="1:9" x14ac:dyDescent="0.3">
      <c r="A195" s="8" t="s">
        <v>38</v>
      </c>
      <c r="B195" s="8" t="s">
        <v>30</v>
      </c>
      <c r="C195" s="8" t="s">
        <v>592</v>
      </c>
      <c r="D195" s="8">
        <v>630</v>
      </c>
      <c r="E195" s="8" t="s">
        <v>593</v>
      </c>
      <c r="F195" s="8" t="s">
        <v>583</v>
      </c>
      <c r="G195" s="8" t="s">
        <v>35</v>
      </c>
      <c r="H195" s="8" t="s">
        <v>39</v>
      </c>
      <c r="I195" s="9">
        <v>45170</v>
      </c>
    </row>
    <row r="196" spans="1:9" x14ac:dyDescent="0.3">
      <c r="A196" s="8" t="s">
        <v>38</v>
      </c>
      <c r="B196" s="8" t="s">
        <v>30</v>
      </c>
      <c r="C196" s="8" t="s">
        <v>594</v>
      </c>
      <c r="D196" s="8">
        <v>632</v>
      </c>
      <c r="E196" s="8" t="s">
        <v>595</v>
      </c>
      <c r="F196" s="8" t="s">
        <v>583</v>
      </c>
      <c r="G196" s="8" t="s">
        <v>35</v>
      </c>
      <c r="H196" s="8" t="s">
        <v>39</v>
      </c>
      <c r="I196" s="9">
        <v>45170</v>
      </c>
    </row>
    <row r="197" spans="1:9" x14ac:dyDescent="0.3">
      <c r="A197" s="8" t="s">
        <v>156</v>
      </c>
      <c r="B197" s="8" t="s">
        <v>284</v>
      </c>
      <c r="C197" s="8" t="s">
        <v>596</v>
      </c>
      <c r="D197" s="8">
        <v>802</v>
      </c>
      <c r="E197" s="8" t="s">
        <v>326</v>
      </c>
      <c r="F197" s="8" t="s">
        <v>597</v>
      </c>
      <c r="G197" s="8" t="s">
        <v>35</v>
      </c>
      <c r="H197" s="8" t="s">
        <v>598</v>
      </c>
      <c r="I197" s="9">
        <v>45659</v>
      </c>
    </row>
    <row r="198" spans="1:9" x14ac:dyDescent="0.3">
      <c r="A198" s="8" t="s">
        <v>148</v>
      </c>
      <c r="B198" s="8" t="s">
        <v>148</v>
      </c>
      <c r="C198" s="8" t="s">
        <v>599</v>
      </c>
      <c r="D198" s="8">
        <v>795</v>
      </c>
      <c r="E198" s="8" t="s">
        <v>395</v>
      </c>
      <c r="F198" s="8" t="s">
        <v>600</v>
      </c>
      <c r="G198" s="8" t="s">
        <v>35</v>
      </c>
      <c r="H198" s="8" t="s">
        <v>601</v>
      </c>
      <c r="I198" s="9">
        <v>45628</v>
      </c>
    </row>
    <row r="199" spans="1:9" x14ac:dyDescent="0.3">
      <c r="A199" s="8" t="s">
        <v>148</v>
      </c>
      <c r="B199" s="8" t="s">
        <v>148</v>
      </c>
      <c r="C199" s="8" t="s">
        <v>602</v>
      </c>
      <c r="D199" s="8">
        <v>169</v>
      </c>
      <c r="E199" s="8" t="s">
        <v>183</v>
      </c>
      <c r="F199" s="8" t="s">
        <v>603</v>
      </c>
      <c r="G199" s="8" t="s">
        <v>35</v>
      </c>
      <c r="H199" s="8" t="s">
        <v>601</v>
      </c>
      <c r="I199" s="9">
        <v>42248</v>
      </c>
    </row>
    <row r="200" spans="1:9" x14ac:dyDescent="0.3">
      <c r="A200" s="8" t="s">
        <v>604</v>
      </c>
      <c r="B200" s="8" t="s">
        <v>295</v>
      </c>
      <c r="C200" s="8" t="s">
        <v>605</v>
      </c>
      <c r="D200" s="8">
        <v>860</v>
      </c>
      <c r="E200" s="8" t="s">
        <v>606</v>
      </c>
      <c r="F200" s="8" t="s">
        <v>607</v>
      </c>
      <c r="G200" s="8" t="s">
        <v>35</v>
      </c>
      <c r="H200" s="8" t="s">
        <v>608</v>
      </c>
      <c r="I200" s="9">
        <v>45754</v>
      </c>
    </row>
    <row r="201" spans="1:9" x14ac:dyDescent="0.3">
      <c r="A201" s="8" t="s">
        <v>604</v>
      </c>
      <c r="B201" s="8" t="s">
        <v>295</v>
      </c>
      <c r="C201" s="8" t="s">
        <v>609</v>
      </c>
      <c r="D201" s="8">
        <v>826</v>
      </c>
      <c r="E201" s="8" t="s">
        <v>610</v>
      </c>
      <c r="F201" s="8" t="s">
        <v>611</v>
      </c>
      <c r="G201" s="8" t="s">
        <v>35</v>
      </c>
      <c r="H201" s="8" t="s">
        <v>608</v>
      </c>
      <c r="I201" s="9">
        <v>45705</v>
      </c>
    </row>
    <row r="202" spans="1:9" x14ac:dyDescent="0.3">
      <c r="A202" s="8" t="s">
        <v>604</v>
      </c>
      <c r="B202" s="8" t="s">
        <v>295</v>
      </c>
      <c r="C202" s="8" t="s">
        <v>612</v>
      </c>
      <c r="D202" s="8">
        <v>905</v>
      </c>
      <c r="E202" s="8" t="s">
        <v>613</v>
      </c>
      <c r="F202" s="8" t="s">
        <v>614</v>
      </c>
      <c r="G202" s="8" t="s">
        <v>35</v>
      </c>
      <c r="H202" s="8" t="s">
        <v>608</v>
      </c>
      <c r="I202" s="9">
        <v>45873</v>
      </c>
    </row>
    <row r="203" spans="1:9" x14ac:dyDescent="0.3">
      <c r="A203" s="8" t="s">
        <v>604</v>
      </c>
      <c r="B203" s="8" t="s">
        <v>295</v>
      </c>
      <c r="C203" s="8" t="s">
        <v>615</v>
      </c>
      <c r="D203" s="8">
        <v>915</v>
      </c>
      <c r="E203" s="8" t="s">
        <v>616</v>
      </c>
      <c r="F203" s="8" t="s">
        <v>467</v>
      </c>
      <c r="G203" s="8" t="s">
        <v>35</v>
      </c>
      <c r="H203" s="8" t="s">
        <v>608</v>
      </c>
      <c r="I203" s="9">
        <v>45901</v>
      </c>
    </row>
    <row r="204" spans="1:9" x14ac:dyDescent="0.3">
      <c r="A204" s="8" t="s">
        <v>496</v>
      </c>
      <c r="B204" s="8" t="s">
        <v>496</v>
      </c>
      <c r="C204" s="8" t="s">
        <v>617</v>
      </c>
      <c r="D204" s="8">
        <v>553</v>
      </c>
      <c r="E204" s="8" t="s">
        <v>618</v>
      </c>
      <c r="F204" s="8" t="s">
        <v>12</v>
      </c>
      <c r="G204" s="8" t="s">
        <v>13</v>
      </c>
      <c r="H204" s="8" t="s">
        <v>619</v>
      </c>
      <c r="I204" s="9">
        <v>44921</v>
      </c>
    </row>
    <row r="205" spans="1:9" x14ac:dyDescent="0.3">
      <c r="A205" s="8" t="s">
        <v>496</v>
      </c>
      <c r="B205" s="8" t="s">
        <v>496</v>
      </c>
      <c r="C205" s="8" t="s">
        <v>620</v>
      </c>
      <c r="D205" s="8">
        <v>917</v>
      </c>
      <c r="E205" s="8" t="s">
        <v>621</v>
      </c>
      <c r="F205" s="8" t="s">
        <v>12</v>
      </c>
      <c r="G205" s="8" t="s">
        <v>13</v>
      </c>
      <c r="H205" s="8" t="s">
        <v>619</v>
      </c>
      <c r="I205" s="9">
        <v>45901</v>
      </c>
    </row>
    <row r="206" spans="1:9" x14ac:dyDescent="0.3">
      <c r="A206" s="8" t="s">
        <v>496</v>
      </c>
      <c r="B206" s="8" t="s">
        <v>496</v>
      </c>
      <c r="C206" s="8" t="s">
        <v>622</v>
      </c>
      <c r="D206" s="8">
        <v>810</v>
      </c>
      <c r="E206" s="8" t="s">
        <v>623</v>
      </c>
      <c r="F206" s="8" t="s">
        <v>12</v>
      </c>
      <c r="G206" s="8" t="s">
        <v>13</v>
      </c>
      <c r="H206" s="8" t="s">
        <v>619</v>
      </c>
      <c r="I206" s="9">
        <v>45680</v>
      </c>
    </row>
    <row r="207" spans="1:9" x14ac:dyDescent="0.3">
      <c r="A207" s="8" t="s">
        <v>496</v>
      </c>
      <c r="B207" s="8" t="s">
        <v>496</v>
      </c>
      <c r="C207" s="8" t="s">
        <v>624</v>
      </c>
      <c r="D207" s="8">
        <v>838</v>
      </c>
      <c r="E207" s="8" t="s">
        <v>625</v>
      </c>
      <c r="F207" s="8" t="s">
        <v>12</v>
      </c>
      <c r="G207" s="8" t="s">
        <v>13</v>
      </c>
      <c r="H207" s="8" t="s">
        <v>619</v>
      </c>
      <c r="I207" s="9">
        <v>45705</v>
      </c>
    </row>
    <row r="208" spans="1:9" x14ac:dyDescent="0.3">
      <c r="A208" s="8" t="s">
        <v>496</v>
      </c>
      <c r="B208" s="8" t="s">
        <v>496</v>
      </c>
      <c r="C208" s="8" t="s">
        <v>626</v>
      </c>
      <c r="D208" s="8">
        <v>919</v>
      </c>
      <c r="E208" s="8" t="s">
        <v>627</v>
      </c>
      <c r="F208" s="8" t="s">
        <v>12</v>
      </c>
      <c r="G208" s="8" t="s">
        <v>13</v>
      </c>
      <c r="H208" s="8" t="s">
        <v>619</v>
      </c>
      <c r="I208" s="9">
        <v>44746</v>
      </c>
    </row>
    <row r="209" spans="1:9" x14ac:dyDescent="0.3">
      <c r="A209" s="8" t="s">
        <v>496</v>
      </c>
      <c r="B209" s="8" t="s">
        <v>496</v>
      </c>
      <c r="C209" s="8" t="s">
        <v>628</v>
      </c>
      <c r="D209" s="8">
        <v>843</v>
      </c>
      <c r="E209" s="8" t="s">
        <v>629</v>
      </c>
      <c r="F209" s="8" t="s">
        <v>12</v>
      </c>
      <c r="G209" s="8" t="s">
        <v>13</v>
      </c>
      <c r="H209" s="8" t="s">
        <v>619</v>
      </c>
      <c r="I209" s="9">
        <v>45705</v>
      </c>
    </row>
    <row r="210" spans="1:9" x14ac:dyDescent="0.3">
      <c r="A210" s="8" t="s">
        <v>496</v>
      </c>
      <c r="B210" s="8" t="s">
        <v>496</v>
      </c>
      <c r="C210" s="8" t="s">
        <v>630</v>
      </c>
      <c r="D210" s="8">
        <v>817</v>
      </c>
      <c r="E210" s="8" t="s">
        <v>631</v>
      </c>
      <c r="F210" s="8" t="s">
        <v>12</v>
      </c>
      <c r="G210" s="8" t="s">
        <v>13</v>
      </c>
      <c r="H210" s="8" t="s">
        <v>619</v>
      </c>
      <c r="I210" s="9">
        <v>45684</v>
      </c>
    </row>
    <row r="211" spans="1:9" x14ac:dyDescent="0.3">
      <c r="A211" s="8" t="s">
        <v>496</v>
      </c>
      <c r="B211" s="8" t="s">
        <v>496</v>
      </c>
      <c r="C211" s="8" t="s">
        <v>632</v>
      </c>
      <c r="D211" s="8">
        <v>833</v>
      </c>
      <c r="E211" s="8" t="s">
        <v>633</v>
      </c>
      <c r="F211" s="8" t="s">
        <v>12</v>
      </c>
      <c r="G211" s="8" t="s">
        <v>13</v>
      </c>
      <c r="H211" s="8" t="s">
        <v>619</v>
      </c>
      <c r="I211" s="9">
        <v>45705</v>
      </c>
    </row>
    <row r="212" spans="1:9" x14ac:dyDescent="0.3">
      <c r="A212" s="8" t="s">
        <v>496</v>
      </c>
      <c r="B212" s="8" t="s">
        <v>496</v>
      </c>
      <c r="C212" s="8" t="s">
        <v>634</v>
      </c>
      <c r="D212" s="8">
        <v>647</v>
      </c>
      <c r="E212" s="8" t="s">
        <v>635</v>
      </c>
      <c r="F212" s="8" t="s">
        <v>12</v>
      </c>
      <c r="G212" s="8" t="s">
        <v>13</v>
      </c>
      <c r="H212" s="8" t="s">
        <v>619</v>
      </c>
      <c r="I212" s="9">
        <v>45233</v>
      </c>
    </row>
    <row r="213" spans="1:9" x14ac:dyDescent="0.3">
      <c r="A213" s="8" t="s">
        <v>287</v>
      </c>
      <c r="B213" s="8" t="s">
        <v>298</v>
      </c>
      <c r="C213" s="8" t="s">
        <v>636</v>
      </c>
      <c r="D213" s="8">
        <v>674</v>
      </c>
      <c r="E213" s="8" t="s">
        <v>637</v>
      </c>
      <c r="F213" s="8" t="s">
        <v>638</v>
      </c>
      <c r="G213" s="8" t="s">
        <v>35</v>
      </c>
      <c r="H213" s="8" t="s">
        <v>345</v>
      </c>
      <c r="I213" s="9">
        <v>44958</v>
      </c>
    </row>
    <row r="214" spans="1:9" x14ac:dyDescent="0.3">
      <c r="A214" s="8" t="s">
        <v>287</v>
      </c>
      <c r="B214" s="8" t="s">
        <v>298</v>
      </c>
      <c r="C214" s="8" t="s">
        <v>639</v>
      </c>
      <c r="D214" s="8">
        <v>957</v>
      </c>
      <c r="E214" s="8" t="s">
        <v>640</v>
      </c>
      <c r="F214" s="8" t="s">
        <v>638</v>
      </c>
      <c r="G214" s="8" t="s">
        <v>35</v>
      </c>
      <c r="H214" s="8" t="s">
        <v>345</v>
      </c>
      <c r="I214" s="9">
        <v>46006</v>
      </c>
    </row>
    <row r="215" spans="1:9" x14ac:dyDescent="0.3">
      <c r="A215" s="8" t="s">
        <v>287</v>
      </c>
      <c r="B215" s="8" t="s">
        <v>298</v>
      </c>
      <c r="C215" s="8" t="s">
        <v>641</v>
      </c>
      <c r="D215" s="10" t="s">
        <v>642</v>
      </c>
      <c r="E215" s="8" t="s">
        <v>643</v>
      </c>
      <c r="F215" s="8" t="s">
        <v>524</v>
      </c>
      <c r="G215" s="8" t="s">
        <v>35</v>
      </c>
      <c r="H215" s="8" t="s">
        <v>345</v>
      </c>
      <c r="I215" s="9">
        <v>44900</v>
      </c>
    </row>
    <row r="216" spans="1:9" x14ac:dyDescent="0.3">
      <c r="A216" s="8" t="s">
        <v>287</v>
      </c>
      <c r="B216" s="8" t="s">
        <v>298</v>
      </c>
      <c r="C216" s="8" t="s">
        <v>644</v>
      </c>
      <c r="D216" s="8">
        <v>606</v>
      </c>
      <c r="E216" s="8" t="s">
        <v>297</v>
      </c>
      <c r="F216" s="8" t="s">
        <v>473</v>
      </c>
      <c r="G216" s="8" t="s">
        <v>35</v>
      </c>
      <c r="H216" s="8" t="s">
        <v>302</v>
      </c>
      <c r="I216" s="9">
        <v>45068</v>
      </c>
    </row>
    <row r="217" spans="1:9" x14ac:dyDescent="0.3">
      <c r="A217" s="8" t="s">
        <v>287</v>
      </c>
      <c r="B217" s="8" t="s">
        <v>298</v>
      </c>
      <c r="C217" s="8" t="s">
        <v>645</v>
      </c>
      <c r="D217" s="8">
        <v>604</v>
      </c>
      <c r="E217" s="8" t="s">
        <v>375</v>
      </c>
      <c r="F217" s="8" t="s">
        <v>473</v>
      </c>
      <c r="G217" s="8" t="s">
        <v>35</v>
      </c>
      <c r="H217" s="8" t="s">
        <v>378</v>
      </c>
      <c r="I217" s="9">
        <v>45061</v>
      </c>
    </row>
    <row r="218" spans="1:9" x14ac:dyDescent="0.3">
      <c r="A218" s="8" t="s">
        <v>287</v>
      </c>
      <c r="B218" s="8" t="s">
        <v>298</v>
      </c>
      <c r="C218" s="8" t="s">
        <v>646</v>
      </c>
      <c r="D218" s="10" t="s">
        <v>647</v>
      </c>
      <c r="E218" s="8" t="s">
        <v>455</v>
      </c>
      <c r="F218" s="8" t="s">
        <v>473</v>
      </c>
      <c r="G218" s="8" t="s">
        <v>35</v>
      </c>
      <c r="H218" s="8" t="s">
        <v>458</v>
      </c>
      <c r="I218" s="9">
        <v>44562</v>
      </c>
    </row>
    <row r="219" spans="1:9" x14ac:dyDescent="0.3">
      <c r="A219" s="8" t="s">
        <v>287</v>
      </c>
      <c r="B219" s="8" t="s">
        <v>298</v>
      </c>
      <c r="C219" s="8" t="s">
        <v>648</v>
      </c>
      <c r="D219" s="10" t="s">
        <v>649</v>
      </c>
      <c r="E219" s="8" t="s">
        <v>520</v>
      </c>
      <c r="F219" s="8" t="s">
        <v>473</v>
      </c>
      <c r="G219" s="8" t="s">
        <v>35</v>
      </c>
      <c r="H219" s="8" t="s">
        <v>345</v>
      </c>
      <c r="I219" s="9">
        <v>44902</v>
      </c>
    </row>
    <row r="220" spans="1:9" x14ac:dyDescent="0.3">
      <c r="A220" s="8" t="s">
        <v>650</v>
      </c>
      <c r="B220" s="8" t="s">
        <v>291</v>
      </c>
      <c r="C220" s="8" t="s">
        <v>651</v>
      </c>
      <c r="D220" s="8">
        <v>533</v>
      </c>
      <c r="E220" s="8" t="s">
        <v>652</v>
      </c>
      <c r="F220" s="8" t="s">
        <v>369</v>
      </c>
      <c r="G220" s="8" t="s">
        <v>35</v>
      </c>
      <c r="H220" s="8" t="s">
        <v>302</v>
      </c>
      <c r="I220" s="9">
        <v>44851</v>
      </c>
    </row>
    <row r="221" spans="1:9" x14ac:dyDescent="0.3">
      <c r="A221" s="8" t="s">
        <v>650</v>
      </c>
      <c r="B221" s="8" t="s">
        <v>291</v>
      </c>
      <c r="C221" s="8" t="s">
        <v>653</v>
      </c>
      <c r="D221" s="8">
        <v>272</v>
      </c>
      <c r="E221" s="8" t="s">
        <v>654</v>
      </c>
      <c r="F221" s="8" t="s">
        <v>655</v>
      </c>
      <c r="G221" s="8" t="s">
        <v>35</v>
      </c>
      <c r="H221" s="8" t="s">
        <v>656</v>
      </c>
      <c r="I221" s="9">
        <v>43416</v>
      </c>
    </row>
    <row r="222" spans="1:9" x14ac:dyDescent="0.3">
      <c r="A222" s="8" t="s">
        <v>50</v>
      </c>
      <c r="B222" s="8" t="s">
        <v>50</v>
      </c>
      <c r="C222" s="8" t="s">
        <v>657</v>
      </c>
      <c r="D222" s="8">
        <v>213</v>
      </c>
      <c r="E222" s="8" t="s">
        <v>658</v>
      </c>
      <c r="F222" s="8" t="s">
        <v>659</v>
      </c>
      <c r="G222" s="8" t="s">
        <v>35</v>
      </c>
      <c r="H222" s="8" t="s">
        <v>660</v>
      </c>
      <c r="I222" s="9">
        <v>42751</v>
      </c>
    </row>
    <row r="223" spans="1:9" x14ac:dyDescent="0.3">
      <c r="A223" s="8" t="s">
        <v>50</v>
      </c>
      <c r="B223" s="8" t="s">
        <v>50</v>
      </c>
      <c r="C223" s="8" t="s">
        <v>661</v>
      </c>
      <c r="D223" s="8">
        <v>329</v>
      </c>
      <c r="E223" s="8" t="s">
        <v>662</v>
      </c>
      <c r="F223" s="8" t="s">
        <v>659</v>
      </c>
      <c r="G223" s="8" t="s">
        <v>35</v>
      </c>
      <c r="H223" s="8" t="s">
        <v>660</v>
      </c>
      <c r="I223" s="9">
        <v>43682</v>
      </c>
    </row>
    <row r="224" spans="1:9" x14ac:dyDescent="0.3">
      <c r="A224" s="8" t="s">
        <v>50</v>
      </c>
      <c r="B224" s="8" t="s">
        <v>50</v>
      </c>
      <c r="C224" s="8" t="s">
        <v>663</v>
      </c>
      <c r="D224" s="8">
        <v>908</v>
      </c>
      <c r="E224" s="8" t="s">
        <v>664</v>
      </c>
      <c r="F224" s="8" t="s">
        <v>665</v>
      </c>
      <c r="G224" s="8" t="s">
        <v>35</v>
      </c>
      <c r="H224" s="8" t="s">
        <v>660</v>
      </c>
      <c r="I224" s="9">
        <v>45887</v>
      </c>
    </row>
    <row r="225" spans="1:9" x14ac:dyDescent="0.3">
      <c r="A225" s="8" t="s">
        <v>50</v>
      </c>
      <c r="B225" s="8" t="s">
        <v>50</v>
      </c>
      <c r="C225" s="8" t="s">
        <v>666</v>
      </c>
      <c r="D225" s="8">
        <v>937</v>
      </c>
      <c r="E225" s="8" t="s">
        <v>667</v>
      </c>
      <c r="F225" s="8" t="s">
        <v>665</v>
      </c>
      <c r="G225" s="8" t="s">
        <v>35</v>
      </c>
      <c r="H225" s="8" t="s">
        <v>660</v>
      </c>
      <c r="I225" s="9">
        <v>45964</v>
      </c>
    </row>
    <row r="226" spans="1:9" x14ac:dyDescent="0.3">
      <c r="A226" s="8" t="s">
        <v>50</v>
      </c>
      <c r="B226" s="8" t="s">
        <v>50</v>
      </c>
      <c r="C226" s="8" t="s">
        <v>668</v>
      </c>
      <c r="D226" s="8">
        <v>208</v>
      </c>
      <c r="E226" s="8" t="s">
        <v>669</v>
      </c>
      <c r="F226" s="8" t="s">
        <v>670</v>
      </c>
      <c r="G226" s="8" t="s">
        <v>35</v>
      </c>
      <c r="H226" s="8" t="s">
        <v>660</v>
      </c>
      <c r="I226" s="9">
        <v>42614</v>
      </c>
    </row>
    <row r="227" spans="1:9" x14ac:dyDescent="0.3">
      <c r="A227" s="8" t="s">
        <v>33</v>
      </c>
      <c r="B227" s="8" t="s">
        <v>30</v>
      </c>
      <c r="C227" s="8" t="s">
        <v>671</v>
      </c>
      <c r="D227" s="8">
        <v>765</v>
      </c>
      <c r="E227" s="8" t="s">
        <v>672</v>
      </c>
      <c r="F227" s="8" t="s">
        <v>673</v>
      </c>
      <c r="G227" s="8" t="s">
        <v>35</v>
      </c>
      <c r="H227" s="8" t="s">
        <v>47</v>
      </c>
      <c r="I227" s="9">
        <v>45551</v>
      </c>
    </row>
    <row r="228" spans="1:9" x14ac:dyDescent="0.3">
      <c r="A228" s="8" t="s">
        <v>33</v>
      </c>
      <c r="B228" s="8" t="s">
        <v>30</v>
      </c>
      <c r="C228" s="8" t="s">
        <v>674</v>
      </c>
      <c r="D228" s="8">
        <v>754</v>
      </c>
      <c r="E228" s="8" t="s">
        <v>675</v>
      </c>
      <c r="F228" s="8" t="s">
        <v>676</v>
      </c>
      <c r="G228" s="8" t="s">
        <v>35</v>
      </c>
      <c r="H228" s="8" t="s">
        <v>47</v>
      </c>
      <c r="I228" s="9">
        <v>45520</v>
      </c>
    </row>
    <row r="229" spans="1:9" x14ac:dyDescent="0.3">
      <c r="A229" s="8" t="s">
        <v>33</v>
      </c>
      <c r="B229" s="8" t="s">
        <v>30</v>
      </c>
      <c r="C229" s="8" t="s">
        <v>677</v>
      </c>
      <c r="D229" s="8">
        <v>883</v>
      </c>
      <c r="E229" s="8" t="s">
        <v>678</v>
      </c>
      <c r="F229" s="8" t="s">
        <v>679</v>
      </c>
      <c r="G229" s="8" t="s">
        <v>35</v>
      </c>
      <c r="H229" s="8" t="s">
        <v>47</v>
      </c>
      <c r="I229" s="9">
        <v>45810</v>
      </c>
    </row>
    <row r="230" spans="1:9" x14ac:dyDescent="0.3">
      <c r="A230" s="8" t="s">
        <v>391</v>
      </c>
      <c r="B230" s="8" t="s">
        <v>391</v>
      </c>
      <c r="C230" s="8" t="s">
        <v>680</v>
      </c>
      <c r="D230" s="10">
        <v>0</v>
      </c>
      <c r="E230" s="8" t="s">
        <v>681</v>
      </c>
      <c r="F230" s="8" t="s">
        <v>682</v>
      </c>
      <c r="G230" s="8" t="s">
        <v>393</v>
      </c>
      <c r="H230" s="8" t="s">
        <v>683</v>
      </c>
      <c r="I230" s="9">
        <v>45964</v>
      </c>
    </row>
    <row r="231" spans="1:9" x14ac:dyDescent="0.3">
      <c r="A231" s="8" t="s">
        <v>391</v>
      </c>
      <c r="B231" s="8" t="s">
        <v>391</v>
      </c>
      <c r="C231" s="8" t="s">
        <v>684</v>
      </c>
      <c r="D231" s="10">
        <v>0</v>
      </c>
      <c r="E231" s="8" t="s">
        <v>685</v>
      </c>
      <c r="F231" s="8" t="s">
        <v>682</v>
      </c>
      <c r="G231" s="8" t="s">
        <v>393</v>
      </c>
      <c r="H231" s="8" t="s">
        <v>683</v>
      </c>
      <c r="I231" s="9">
        <v>45757</v>
      </c>
    </row>
    <row r="232" spans="1:9" x14ac:dyDescent="0.3">
      <c r="A232" s="8" t="s">
        <v>391</v>
      </c>
      <c r="B232" s="8" t="s">
        <v>391</v>
      </c>
      <c r="C232" s="8" t="s">
        <v>686</v>
      </c>
      <c r="D232" s="10" t="s">
        <v>687</v>
      </c>
      <c r="E232" s="8" t="s">
        <v>688</v>
      </c>
      <c r="F232" s="8" t="s">
        <v>682</v>
      </c>
      <c r="G232" s="8" t="s">
        <v>393</v>
      </c>
      <c r="H232" s="8" t="s">
        <v>683</v>
      </c>
      <c r="I232" s="9">
        <v>45244</v>
      </c>
    </row>
    <row r="233" spans="1:9" x14ac:dyDescent="0.3">
      <c r="A233" s="8" t="s">
        <v>391</v>
      </c>
      <c r="B233" s="8" t="s">
        <v>391</v>
      </c>
      <c r="C233" s="8" t="s">
        <v>689</v>
      </c>
      <c r="D233" s="10" t="s">
        <v>690</v>
      </c>
      <c r="E233" s="8" t="s">
        <v>691</v>
      </c>
      <c r="F233" s="8" t="s">
        <v>692</v>
      </c>
      <c r="G233" s="8" t="s">
        <v>393</v>
      </c>
      <c r="H233" s="8" t="s">
        <v>683</v>
      </c>
      <c r="I233" s="9">
        <v>45677</v>
      </c>
    </row>
    <row r="234" spans="1:9" x14ac:dyDescent="0.3">
      <c r="A234" s="8" t="s">
        <v>391</v>
      </c>
      <c r="B234" s="8" t="s">
        <v>391</v>
      </c>
      <c r="C234" s="8" t="s">
        <v>693</v>
      </c>
      <c r="D234" s="10" t="s">
        <v>694</v>
      </c>
      <c r="E234" s="8" t="s">
        <v>695</v>
      </c>
      <c r="F234" s="8" t="s">
        <v>692</v>
      </c>
      <c r="G234" s="8" t="s">
        <v>393</v>
      </c>
      <c r="H234" s="8" t="s">
        <v>683</v>
      </c>
      <c r="I234" s="9">
        <v>44494</v>
      </c>
    </row>
    <row r="235" spans="1:9" x14ac:dyDescent="0.3">
      <c r="A235" s="8" t="s">
        <v>391</v>
      </c>
      <c r="B235" s="8" t="s">
        <v>391</v>
      </c>
      <c r="C235" s="8" t="s">
        <v>696</v>
      </c>
      <c r="D235" s="10">
        <v>0</v>
      </c>
      <c r="E235" s="8" t="s">
        <v>697</v>
      </c>
      <c r="F235" s="8" t="s">
        <v>254</v>
      </c>
      <c r="G235" s="8" t="s">
        <v>393</v>
      </c>
      <c r="H235" s="8" t="s">
        <v>683</v>
      </c>
      <c r="I235" s="9">
        <v>46043</v>
      </c>
    </row>
    <row r="236" spans="1:9" x14ac:dyDescent="0.3">
      <c r="A236" s="8" t="s">
        <v>391</v>
      </c>
      <c r="B236" s="8" t="s">
        <v>391</v>
      </c>
      <c r="C236" s="8" t="s">
        <v>698</v>
      </c>
      <c r="D236" s="10" t="s">
        <v>699</v>
      </c>
      <c r="E236" s="8" t="s">
        <v>700</v>
      </c>
      <c r="F236" s="8" t="s">
        <v>701</v>
      </c>
      <c r="G236" s="8" t="s">
        <v>393</v>
      </c>
      <c r="H236" s="8" t="s">
        <v>683</v>
      </c>
      <c r="I236" s="9">
        <v>44714</v>
      </c>
    </row>
    <row r="237" spans="1:9" x14ac:dyDescent="0.3">
      <c r="A237" s="8" t="s">
        <v>391</v>
      </c>
      <c r="B237" s="8" t="s">
        <v>391</v>
      </c>
      <c r="C237" s="8" t="s">
        <v>702</v>
      </c>
      <c r="D237" s="10" t="s">
        <v>703</v>
      </c>
      <c r="E237" s="8" t="s">
        <v>704</v>
      </c>
      <c r="F237" s="8" t="s">
        <v>705</v>
      </c>
      <c r="G237" s="8" t="s">
        <v>393</v>
      </c>
      <c r="H237" s="8" t="s">
        <v>683</v>
      </c>
      <c r="I237" s="9">
        <v>45600</v>
      </c>
    </row>
    <row r="238" spans="1:9" x14ac:dyDescent="0.3">
      <c r="A238" s="8" t="s">
        <v>391</v>
      </c>
      <c r="B238" s="8" t="s">
        <v>391</v>
      </c>
      <c r="C238" s="8" t="s">
        <v>706</v>
      </c>
      <c r="D238" s="10">
        <v>0</v>
      </c>
      <c r="E238" s="8" t="s">
        <v>707</v>
      </c>
      <c r="F238" s="8" t="s">
        <v>708</v>
      </c>
      <c r="G238" s="8" t="s">
        <v>393</v>
      </c>
      <c r="H238" s="8" t="s">
        <v>683</v>
      </c>
      <c r="I238" s="9">
        <v>45824</v>
      </c>
    </row>
    <row r="239" spans="1:9" x14ac:dyDescent="0.3">
      <c r="A239" s="8" t="s">
        <v>391</v>
      </c>
      <c r="B239" s="8" t="s">
        <v>391</v>
      </c>
      <c r="C239" s="8" t="s">
        <v>709</v>
      </c>
      <c r="D239" s="10" t="s">
        <v>710</v>
      </c>
      <c r="E239" s="8" t="s">
        <v>711</v>
      </c>
      <c r="F239" s="8" t="s">
        <v>708</v>
      </c>
      <c r="G239" s="8" t="s">
        <v>393</v>
      </c>
      <c r="H239" s="8" t="s">
        <v>683</v>
      </c>
      <c r="I239" s="9">
        <v>45383</v>
      </c>
    </row>
    <row r="240" spans="1:9" x14ac:dyDescent="0.3">
      <c r="A240" s="8" t="s">
        <v>64</v>
      </c>
      <c r="B240" s="8" t="s">
        <v>64</v>
      </c>
      <c r="C240" s="8" t="s">
        <v>712</v>
      </c>
      <c r="D240" s="8">
        <v>740</v>
      </c>
      <c r="E240" s="8" t="s">
        <v>112</v>
      </c>
      <c r="F240" s="8" t="s">
        <v>713</v>
      </c>
      <c r="G240" s="8" t="s">
        <v>35</v>
      </c>
      <c r="H240" s="8" t="s">
        <v>714</v>
      </c>
      <c r="I240" s="9">
        <v>45516</v>
      </c>
    </row>
    <row r="241" spans="1:9" x14ac:dyDescent="0.3">
      <c r="A241" s="8" t="s">
        <v>64</v>
      </c>
      <c r="B241" s="8" t="s">
        <v>64</v>
      </c>
      <c r="C241" s="8" t="s">
        <v>715</v>
      </c>
      <c r="D241" s="8">
        <v>390</v>
      </c>
      <c r="E241" s="8" t="s">
        <v>415</v>
      </c>
      <c r="F241" s="8" t="s">
        <v>716</v>
      </c>
      <c r="G241" s="8" t="s">
        <v>35</v>
      </c>
      <c r="H241" s="8" t="s">
        <v>717</v>
      </c>
      <c r="I241" s="9">
        <v>44342</v>
      </c>
    </row>
    <row r="242" spans="1:9" x14ac:dyDescent="0.3">
      <c r="A242" s="8" t="s">
        <v>64</v>
      </c>
      <c r="B242" s="8" t="s">
        <v>64</v>
      </c>
      <c r="C242" s="8" t="s">
        <v>718</v>
      </c>
      <c r="D242" s="8">
        <v>645</v>
      </c>
      <c r="E242" s="8" t="s">
        <v>104</v>
      </c>
      <c r="F242" s="8" t="s">
        <v>719</v>
      </c>
      <c r="G242" s="8" t="s">
        <v>109</v>
      </c>
      <c r="H242" s="8" t="s">
        <v>110</v>
      </c>
      <c r="I242" s="9">
        <v>45219</v>
      </c>
    </row>
    <row r="243" spans="1:9" x14ac:dyDescent="0.3">
      <c r="A243" s="8" t="s">
        <v>64</v>
      </c>
      <c r="B243" s="8" t="s">
        <v>64</v>
      </c>
      <c r="C243" s="8" t="s">
        <v>720</v>
      </c>
      <c r="D243" s="10" t="s">
        <v>721</v>
      </c>
      <c r="E243" s="8" t="s">
        <v>209</v>
      </c>
      <c r="F243" s="8" t="s">
        <v>722</v>
      </c>
      <c r="G243" s="8" t="s">
        <v>13</v>
      </c>
      <c r="H243" s="8" t="s">
        <v>723</v>
      </c>
      <c r="I243" s="9">
        <v>44197</v>
      </c>
    </row>
    <row r="244" spans="1:9" x14ac:dyDescent="0.3">
      <c r="A244" s="8" t="s">
        <v>64</v>
      </c>
      <c r="B244" s="8" t="s">
        <v>48</v>
      </c>
      <c r="C244" s="8" t="s">
        <v>724</v>
      </c>
      <c r="D244" s="10" t="s">
        <v>725</v>
      </c>
      <c r="E244" s="8" t="s">
        <v>315</v>
      </c>
      <c r="F244" s="8" t="s">
        <v>722</v>
      </c>
      <c r="G244" s="8" t="s">
        <v>13</v>
      </c>
      <c r="H244" s="8" t="s">
        <v>726</v>
      </c>
      <c r="I244" s="9">
        <v>44197</v>
      </c>
    </row>
    <row r="245" spans="1:9" x14ac:dyDescent="0.3">
      <c r="A245" s="8" t="s">
        <v>64</v>
      </c>
      <c r="B245" s="8" t="s">
        <v>48</v>
      </c>
      <c r="C245" s="8" t="s">
        <v>727</v>
      </c>
      <c r="D245" s="10" t="s">
        <v>728</v>
      </c>
      <c r="E245" s="8" t="s">
        <v>572</v>
      </c>
      <c r="F245" s="8" t="s">
        <v>722</v>
      </c>
      <c r="G245" s="8" t="s">
        <v>13</v>
      </c>
      <c r="H245" s="8" t="s">
        <v>729</v>
      </c>
      <c r="I245" s="9">
        <v>44197</v>
      </c>
    </row>
    <row r="246" spans="1:9" x14ac:dyDescent="0.3">
      <c r="A246" s="8" t="s">
        <v>64</v>
      </c>
      <c r="B246" s="8" t="s">
        <v>48</v>
      </c>
      <c r="C246" s="8" t="s">
        <v>730</v>
      </c>
      <c r="D246" s="10" t="s">
        <v>731</v>
      </c>
      <c r="E246" s="8" t="s">
        <v>576</v>
      </c>
      <c r="F246" s="8" t="s">
        <v>722</v>
      </c>
      <c r="G246" s="8" t="s">
        <v>13</v>
      </c>
      <c r="H246" s="8" t="s">
        <v>732</v>
      </c>
      <c r="I246" s="9">
        <v>44246</v>
      </c>
    </row>
    <row r="247" spans="1:9" x14ac:dyDescent="0.3">
      <c r="A247" s="8" t="s">
        <v>64</v>
      </c>
      <c r="B247" s="8" t="s">
        <v>48</v>
      </c>
      <c r="C247" s="8" t="s">
        <v>733</v>
      </c>
      <c r="D247" s="10" t="s">
        <v>734</v>
      </c>
      <c r="E247" s="8" t="s">
        <v>496</v>
      </c>
      <c r="F247" s="8" t="s">
        <v>722</v>
      </c>
      <c r="G247" s="8" t="s">
        <v>13</v>
      </c>
      <c r="H247" s="8" t="s">
        <v>735</v>
      </c>
      <c r="I247" s="9">
        <v>44197</v>
      </c>
    </row>
    <row r="248" spans="1:9" x14ac:dyDescent="0.3">
      <c r="A248" s="8" t="s">
        <v>425</v>
      </c>
      <c r="B248" s="8" t="s">
        <v>183</v>
      </c>
      <c r="C248" s="8" t="s">
        <v>736</v>
      </c>
      <c r="D248" s="8">
        <v>879</v>
      </c>
      <c r="E248" s="8" t="s">
        <v>737</v>
      </c>
      <c r="F248" s="8" t="s">
        <v>738</v>
      </c>
      <c r="G248" s="8" t="s">
        <v>35</v>
      </c>
      <c r="H248" s="8" t="s">
        <v>739</v>
      </c>
      <c r="I248" s="9">
        <v>45789</v>
      </c>
    </row>
    <row r="249" spans="1:9" x14ac:dyDescent="0.3">
      <c r="A249" s="8" t="s">
        <v>425</v>
      </c>
      <c r="B249" s="8" t="s">
        <v>183</v>
      </c>
      <c r="C249" s="8" t="s">
        <v>740</v>
      </c>
      <c r="D249" s="8">
        <v>783</v>
      </c>
      <c r="E249" s="8" t="s">
        <v>741</v>
      </c>
      <c r="F249" s="8" t="s">
        <v>738</v>
      </c>
      <c r="G249" s="8" t="s">
        <v>35</v>
      </c>
      <c r="H249" s="8" t="s">
        <v>739</v>
      </c>
      <c r="I249" s="9">
        <v>45600</v>
      </c>
    </row>
    <row r="250" spans="1:9" x14ac:dyDescent="0.3">
      <c r="A250" s="8" t="s">
        <v>425</v>
      </c>
      <c r="B250" s="8" t="s">
        <v>183</v>
      </c>
      <c r="C250" s="8" t="s">
        <v>742</v>
      </c>
      <c r="D250" s="8">
        <v>784</v>
      </c>
      <c r="E250" s="8" t="s">
        <v>743</v>
      </c>
      <c r="F250" s="8" t="s">
        <v>744</v>
      </c>
      <c r="G250" s="8" t="s">
        <v>35</v>
      </c>
      <c r="H250" s="8" t="s">
        <v>739</v>
      </c>
      <c r="I250" s="9">
        <v>45600</v>
      </c>
    </row>
    <row r="251" spans="1:9" x14ac:dyDescent="0.3">
      <c r="A251" s="8" t="s">
        <v>745</v>
      </c>
      <c r="B251" s="8" t="s">
        <v>745</v>
      </c>
      <c r="C251" s="8" t="s">
        <v>746</v>
      </c>
      <c r="D251" s="8">
        <v>871</v>
      </c>
      <c r="E251" s="8" t="s">
        <v>747</v>
      </c>
      <c r="F251" s="8" t="s">
        <v>748</v>
      </c>
      <c r="G251" s="8" t="s">
        <v>35</v>
      </c>
      <c r="H251" s="8" t="s">
        <v>749</v>
      </c>
      <c r="I251" s="9">
        <v>45782</v>
      </c>
    </row>
    <row r="252" spans="1:9" x14ac:dyDescent="0.3">
      <c r="A252" s="8" t="s">
        <v>745</v>
      </c>
      <c r="B252" s="8" t="s">
        <v>745</v>
      </c>
      <c r="C252" s="8" t="s">
        <v>750</v>
      </c>
      <c r="D252" s="8">
        <v>899</v>
      </c>
      <c r="E252" s="8" t="s">
        <v>751</v>
      </c>
      <c r="F252" s="8" t="s">
        <v>748</v>
      </c>
      <c r="G252" s="8" t="s">
        <v>35</v>
      </c>
      <c r="H252" s="8" t="s">
        <v>749</v>
      </c>
      <c r="I252" s="9">
        <v>45873</v>
      </c>
    </row>
    <row r="253" spans="1:9" x14ac:dyDescent="0.3">
      <c r="A253" s="8" t="s">
        <v>745</v>
      </c>
      <c r="B253" s="8" t="s">
        <v>745</v>
      </c>
      <c r="C253" s="8" t="s">
        <v>752</v>
      </c>
      <c r="D253" s="8">
        <v>936</v>
      </c>
      <c r="E253" s="8" t="s">
        <v>753</v>
      </c>
      <c r="F253" s="8" t="s">
        <v>754</v>
      </c>
      <c r="G253" s="8" t="s">
        <v>35</v>
      </c>
      <c r="H253" s="8" t="s">
        <v>749</v>
      </c>
      <c r="I253" s="9">
        <v>45964</v>
      </c>
    </row>
    <row r="254" spans="1:9" x14ac:dyDescent="0.3">
      <c r="A254" s="8" t="s">
        <v>745</v>
      </c>
      <c r="B254" s="8" t="s">
        <v>295</v>
      </c>
      <c r="C254" s="8" t="s">
        <v>755</v>
      </c>
      <c r="D254" s="8">
        <v>672</v>
      </c>
      <c r="E254" s="8" t="s">
        <v>756</v>
      </c>
      <c r="F254" s="8" t="s">
        <v>757</v>
      </c>
      <c r="G254" s="8" t="s">
        <v>35</v>
      </c>
      <c r="H254" s="8" t="s">
        <v>749</v>
      </c>
      <c r="I254" s="9">
        <v>45323</v>
      </c>
    </row>
    <row r="255" spans="1:9" x14ac:dyDescent="0.3">
      <c r="A255" s="8" t="s">
        <v>745</v>
      </c>
      <c r="B255" s="8" t="s">
        <v>745</v>
      </c>
      <c r="C255" s="8" t="s">
        <v>758</v>
      </c>
      <c r="D255" s="8">
        <v>706</v>
      </c>
      <c r="E255" s="8" t="s">
        <v>759</v>
      </c>
      <c r="F255" s="8" t="s">
        <v>757</v>
      </c>
      <c r="G255" s="8" t="s">
        <v>35</v>
      </c>
      <c r="H255" s="8" t="s">
        <v>749</v>
      </c>
      <c r="I255" s="9">
        <v>45446</v>
      </c>
    </row>
    <row r="256" spans="1:9" x14ac:dyDescent="0.3">
      <c r="A256" s="8" t="s">
        <v>112</v>
      </c>
      <c r="B256" s="8" t="s">
        <v>112</v>
      </c>
      <c r="C256" s="8" t="s">
        <v>760</v>
      </c>
      <c r="D256" s="10" t="s">
        <v>761</v>
      </c>
      <c r="E256" s="8" t="s">
        <v>71</v>
      </c>
      <c r="F256" s="8" t="s">
        <v>762</v>
      </c>
      <c r="G256" s="8" t="s">
        <v>35</v>
      </c>
      <c r="H256" s="8" t="s">
        <v>75</v>
      </c>
      <c r="I256" s="9">
        <v>45845</v>
      </c>
    </row>
    <row r="257" spans="1:9" x14ac:dyDescent="0.3">
      <c r="A257" s="8" t="s">
        <v>112</v>
      </c>
      <c r="B257" s="8" t="s">
        <v>112</v>
      </c>
      <c r="C257" s="8" t="s">
        <v>763</v>
      </c>
      <c r="D257" s="8">
        <v>487</v>
      </c>
      <c r="E257" s="8" t="s">
        <v>111</v>
      </c>
      <c r="F257" s="8" t="s">
        <v>762</v>
      </c>
      <c r="G257" s="8" t="s">
        <v>35</v>
      </c>
      <c r="H257" s="8" t="s">
        <v>115</v>
      </c>
      <c r="I257" s="9">
        <v>44690</v>
      </c>
    </row>
    <row r="258" spans="1:9" x14ac:dyDescent="0.3">
      <c r="A258" s="8" t="s">
        <v>112</v>
      </c>
      <c r="B258" s="8" t="s">
        <v>112</v>
      </c>
      <c r="C258" s="8" t="s">
        <v>764</v>
      </c>
      <c r="D258" s="10" t="s">
        <v>765</v>
      </c>
      <c r="E258" s="8" t="s">
        <v>215</v>
      </c>
      <c r="F258" s="8" t="s">
        <v>762</v>
      </c>
      <c r="G258" s="8" t="s">
        <v>35</v>
      </c>
      <c r="H258" s="8" t="s">
        <v>218</v>
      </c>
      <c r="I258" s="9">
        <v>45796</v>
      </c>
    </row>
    <row r="259" spans="1:9" x14ac:dyDescent="0.3">
      <c r="A259" s="8" t="s">
        <v>112</v>
      </c>
      <c r="B259" s="8" t="s">
        <v>112</v>
      </c>
      <c r="C259" s="8" t="s">
        <v>766</v>
      </c>
      <c r="D259" s="8">
        <v>891</v>
      </c>
      <c r="E259" s="8" t="s">
        <v>332</v>
      </c>
      <c r="F259" s="8" t="s">
        <v>762</v>
      </c>
      <c r="G259" s="8" t="s">
        <v>35</v>
      </c>
      <c r="H259" s="8" t="s">
        <v>335</v>
      </c>
      <c r="I259" s="9">
        <v>45824</v>
      </c>
    </row>
    <row r="260" spans="1:9" x14ac:dyDescent="0.3">
      <c r="A260" s="8" t="s">
        <v>295</v>
      </c>
      <c r="B260" s="8" t="s">
        <v>295</v>
      </c>
      <c r="C260" s="8" t="s">
        <v>767</v>
      </c>
      <c r="D260" s="8">
        <v>856</v>
      </c>
      <c r="E260" s="8" t="s">
        <v>604</v>
      </c>
      <c r="F260" s="8" t="s">
        <v>473</v>
      </c>
      <c r="G260" s="8" t="s">
        <v>35</v>
      </c>
      <c r="H260" s="8" t="s">
        <v>608</v>
      </c>
      <c r="I260" s="9">
        <v>45733</v>
      </c>
    </row>
    <row r="261" spans="1:9" x14ac:dyDescent="0.3">
      <c r="A261" s="8" t="s">
        <v>341</v>
      </c>
      <c r="B261" s="8" t="s">
        <v>291</v>
      </c>
      <c r="C261" s="8" t="s">
        <v>768</v>
      </c>
      <c r="D261" s="8">
        <v>794</v>
      </c>
      <c r="E261" s="8" t="s">
        <v>769</v>
      </c>
      <c r="F261" s="8" t="s">
        <v>770</v>
      </c>
      <c r="G261" s="8" t="s">
        <v>35</v>
      </c>
      <c r="H261" s="8" t="s">
        <v>345</v>
      </c>
      <c r="I261" s="9">
        <v>45628</v>
      </c>
    </row>
    <row r="262" spans="1:9" x14ac:dyDescent="0.3">
      <c r="A262" s="8" t="s">
        <v>341</v>
      </c>
      <c r="B262" s="8" t="s">
        <v>291</v>
      </c>
      <c r="C262" s="8" t="s">
        <v>771</v>
      </c>
      <c r="D262" s="8">
        <v>538</v>
      </c>
      <c r="E262" s="8" t="s">
        <v>772</v>
      </c>
      <c r="F262" s="8" t="s">
        <v>770</v>
      </c>
      <c r="G262" s="8" t="s">
        <v>35</v>
      </c>
      <c r="H262" s="8" t="s">
        <v>345</v>
      </c>
      <c r="I262" s="9">
        <v>44874</v>
      </c>
    </row>
    <row r="263" spans="1:9" x14ac:dyDescent="0.3">
      <c r="A263" s="8" t="s">
        <v>341</v>
      </c>
      <c r="B263" s="8" t="s">
        <v>291</v>
      </c>
      <c r="C263" s="8" t="s">
        <v>773</v>
      </c>
      <c r="D263" s="8">
        <v>950</v>
      </c>
      <c r="E263" s="8" t="s">
        <v>774</v>
      </c>
      <c r="F263" s="8" t="s">
        <v>369</v>
      </c>
      <c r="G263" s="8" t="s">
        <v>35</v>
      </c>
      <c r="H263" s="8" t="s">
        <v>345</v>
      </c>
      <c r="I263" s="9">
        <v>45992</v>
      </c>
    </row>
    <row r="264" spans="1:9" x14ac:dyDescent="0.3">
      <c r="A264" s="8" t="s">
        <v>341</v>
      </c>
      <c r="B264" s="8" t="s">
        <v>291</v>
      </c>
      <c r="C264" s="8" t="s">
        <v>775</v>
      </c>
      <c r="D264" s="8">
        <v>548</v>
      </c>
      <c r="E264" s="8" t="s">
        <v>366</v>
      </c>
      <c r="F264" s="8" t="s">
        <v>344</v>
      </c>
      <c r="G264" s="8" t="s">
        <v>35</v>
      </c>
      <c r="H264" s="8" t="s">
        <v>378</v>
      </c>
      <c r="I264" s="9">
        <v>44909</v>
      </c>
    </row>
    <row r="265" spans="1:9" x14ac:dyDescent="0.3">
      <c r="A265" s="8" t="s">
        <v>341</v>
      </c>
      <c r="B265" s="8" t="s">
        <v>291</v>
      </c>
      <c r="C265" s="8" t="s">
        <v>776</v>
      </c>
      <c r="D265" s="8">
        <v>261</v>
      </c>
      <c r="E265" s="8" t="s">
        <v>777</v>
      </c>
      <c r="F265" s="8" t="s">
        <v>344</v>
      </c>
      <c r="G265" s="8" t="s">
        <v>35</v>
      </c>
      <c r="H265" s="8" t="s">
        <v>345</v>
      </c>
      <c r="I265" s="9">
        <v>43313</v>
      </c>
    </row>
    <row r="266" spans="1:9" x14ac:dyDescent="0.3">
      <c r="A266" s="8" t="s">
        <v>341</v>
      </c>
      <c r="B266" s="8" t="s">
        <v>291</v>
      </c>
      <c r="C266" s="8" t="s">
        <v>778</v>
      </c>
      <c r="D266" s="8">
        <v>418</v>
      </c>
      <c r="E266" s="8" t="s">
        <v>779</v>
      </c>
      <c r="F266" s="8" t="s">
        <v>344</v>
      </c>
      <c r="G266" s="8" t="s">
        <v>35</v>
      </c>
      <c r="H266" s="8" t="s">
        <v>345</v>
      </c>
      <c r="I266" s="9">
        <v>44482</v>
      </c>
    </row>
    <row r="267" spans="1:9" x14ac:dyDescent="0.3">
      <c r="A267" s="8" t="s">
        <v>341</v>
      </c>
      <c r="B267" s="8" t="s">
        <v>291</v>
      </c>
      <c r="C267" s="8" t="s">
        <v>780</v>
      </c>
      <c r="D267" s="8">
        <v>749</v>
      </c>
      <c r="E267" s="8" t="s">
        <v>371</v>
      </c>
      <c r="F267" s="8" t="s">
        <v>781</v>
      </c>
      <c r="G267" s="8" t="s">
        <v>35</v>
      </c>
      <c r="H267" s="8" t="s">
        <v>289</v>
      </c>
      <c r="I267" s="9">
        <v>45520</v>
      </c>
    </row>
    <row r="268" spans="1:9" x14ac:dyDescent="0.3">
      <c r="A268" s="8" t="s">
        <v>341</v>
      </c>
      <c r="B268" s="8" t="s">
        <v>291</v>
      </c>
      <c r="C268" s="8" t="s">
        <v>782</v>
      </c>
      <c r="D268" s="8">
        <v>673</v>
      </c>
      <c r="E268" s="8" t="s">
        <v>650</v>
      </c>
      <c r="F268" s="8" t="s">
        <v>783</v>
      </c>
      <c r="G268" s="8" t="s">
        <v>35</v>
      </c>
      <c r="H268" s="8" t="s">
        <v>302</v>
      </c>
      <c r="I268" s="9">
        <v>45323</v>
      </c>
    </row>
    <row r="269" spans="1:9" x14ac:dyDescent="0.3">
      <c r="A269" s="8" t="s">
        <v>341</v>
      </c>
      <c r="B269" s="8" t="s">
        <v>291</v>
      </c>
      <c r="C269" s="8" t="s">
        <v>784</v>
      </c>
      <c r="D269" s="8">
        <v>954</v>
      </c>
      <c r="E269" s="8" t="s">
        <v>785</v>
      </c>
      <c r="F269" s="8" t="s">
        <v>481</v>
      </c>
      <c r="G269" s="8" t="s">
        <v>35</v>
      </c>
      <c r="H269" s="8" t="s">
        <v>345</v>
      </c>
      <c r="I269" s="9">
        <v>46006</v>
      </c>
    </row>
    <row r="270" spans="1:9" x14ac:dyDescent="0.3">
      <c r="A270" s="8" t="s">
        <v>161</v>
      </c>
      <c r="B270" s="8" t="s">
        <v>161</v>
      </c>
      <c r="C270" s="8" t="s">
        <v>786</v>
      </c>
      <c r="D270" s="10" t="s">
        <v>787</v>
      </c>
      <c r="E270" s="8" t="s">
        <v>788</v>
      </c>
      <c r="F270" s="8" t="s">
        <v>789</v>
      </c>
      <c r="G270" s="8" t="s">
        <v>163</v>
      </c>
      <c r="H270" s="8" t="s">
        <v>790</v>
      </c>
      <c r="I270" s="9">
        <v>44774</v>
      </c>
    </row>
    <row r="271" spans="1:9" x14ac:dyDescent="0.3">
      <c r="A271" s="8" t="s">
        <v>161</v>
      </c>
      <c r="B271" s="8" t="s">
        <v>161</v>
      </c>
      <c r="C271" s="8" t="s">
        <v>791</v>
      </c>
      <c r="D271" s="10" t="s">
        <v>792</v>
      </c>
      <c r="E271" s="8" t="s">
        <v>793</v>
      </c>
      <c r="F271" s="8" t="s">
        <v>794</v>
      </c>
      <c r="G271" s="8" t="s">
        <v>163</v>
      </c>
      <c r="H271" s="8" t="s">
        <v>790</v>
      </c>
      <c r="I271" s="9">
        <v>45758</v>
      </c>
    </row>
    <row r="272" spans="1:9" x14ac:dyDescent="0.3">
      <c r="A272" s="8" t="s">
        <v>161</v>
      </c>
      <c r="B272" s="8" t="s">
        <v>161</v>
      </c>
      <c r="C272" s="8" t="s">
        <v>795</v>
      </c>
      <c r="D272" s="10" t="s">
        <v>796</v>
      </c>
      <c r="E272" s="8" t="s">
        <v>797</v>
      </c>
      <c r="F272" s="8" t="s">
        <v>798</v>
      </c>
      <c r="G272" s="8" t="s">
        <v>163</v>
      </c>
      <c r="H272" s="8" t="s">
        <v>790</v>
      </c>
      <c r="I272" s="9">
        <v>45481</v>
      </c>
    </row>
    <row r="273" spans="1:9" x14ac:dyDescent="0.3">
      <c r="A273" s="8" t="s">
        <v>643</v>
      </c>
      <c r="B273" s="8" t="s">
        <v>643</v>
      </c>
      <c r="C273" s="8" t="s">
        <v>799</v>
      </c>
      <c r="D273" s="8">
        <v>770</v>
      </c>
      <c r="E273" s="8" t="s">
        <v>800</v>
      </c>
      <c r="F273" s="8" t="s">
        <v>305</v>
      </c>
      <c r="G273" s="8" t="s">
        <v>35</v>
      </c>
      <c r="H273" s="8" t="s">
        <v>289</v>
      </c>
      <c r="I273" s="9">
        <v>45566</v>
      </c>
    </row>
    <row r="274" spans="1:9" x14ac:dyDescent="0.3">
      <c r="A274" s="8" t="s">
        <v>643</v>
      </c>
      <c r="B274" s="8" t="s">
        <v>643</v>
      </c>
      <c r="C274" s="8" t="s">
        <v>801</v>
      </c>
      <c r="D274" s="8">
        <v>786</v>
      </c>
      <c r="E274" s="8" t="s">
        <v>802</v>
      </c>
      <c r="F274" s="8" t="s">
        <v>305</v>
      </c>
      <c r="G274" s="8" t="s">
        <v>35</v>
      </c>
      <c r="H274" s="8" t="s">
        <v>289</v>
      </c>
      <c r="I274" s="9">
        <v>45600</v>
      </c>
    </row>
    <row r="275" spans="1:9" x14ac:dyDescent="0.3">
      <c r="A275" s="8" t="s">
        <v>643</v>
      </c>
      <c r="B275" s="8" t="s">
        <v>643</v>
      </c>
      <c r="C275" s="8" t="s">
        <v>803</v>
      </c>
      <c r="D275" s="8">
        <v>940</v>
      </c>
      <c r="E275" s="8" t="s">
        <v>804</v>
      </c>
      <c r="F275" s="8" t="s">
        <v>305</v>
      </c>
      <c r="G275" s="8" t="s">
        <v>35</v>
      </c>
      <c r="H275" s="8" t="s">
        <v>289</v>
      </c>
      <c r="I275" s="9">
        <v>45978</v>
      </c>
    </row>
    <row r="276" spans="1:9" x14ac:dyDescent="0.3">
      <c r="A276" s="8" t="s">
        <v>643</v>
      </c>
      <c r="B276" s="8" t="s">
        <v>643</v>
      </c>
      <c r="C276" s="8" t="s">
        <v>805</v>
      </c>
      <c r="D276" s="8">
        <v>687</v>
      </c>
      <c r="E276" s="8" t="s">
        <v>806</v>
      </c>
      <c r="F276" s="8" t="s">
        <v>312</v>
      </c>
      <c r="G276" s="8" t="s">
        <v>35</v>
      </c>
      <c r="H276" s="8" t="s">
        <v>289</v>
      </c>
      <c r="I276" s="9">
        <v>45357</v>
      </c>
    </row>
    <row r="277" spans="1:9" x14ac:dyDescent="0.3">
      <c r="A277" s="8" t="s">
        <v>643</v>
      </c>
      <c r="B277" s="8" t="s">
        <v>643</v>
      </c>
      <c r="C277" s="8" t="s">
        <v>807</v>
      </c>
      <c r="D277" s="8">
        <v>623</v>
      </c>
      <c r="E277" s="8" t="s">
        <v>808</v>
      </c>
      <c r="F277" s="8" t="s">
        <v>312</v>
      </c>
      <c r="G277" s="8" t="s">
        <v>35</v>
      </c>
      <c r="H277" s="8" t="s">
        <v>289</v>
      </c>
      <c r="I277" s="9">
        <v>45154</v>
      </c>
    </row>
    <row r="278" spans="1:9" x14ac:dyDescent="0.3">
      <c r="A278" s="8" t="s">
        <v>643</v>
      </c>
      <c r="B278" s="8" t="s">
        <v>643</v>
      </c>
      <c r="C278" s="8" t="s">
        <v>809</v>
      </c>
      <c r="D278" s="8">
        <v>792</v>
      </c>
      <c r="E278" s="8" t="s">
        <v>810</v>
      </c>
      <c r="F278" s="8" t="s">
        <v>312</v>
      </c>
      <c r="G278" s="8" t="s">
        <v>35</v>
      </c>
      <c r="H278" s="8" t="s">
        <v>289</v>
      </c>
      <c r="I278" s="9">
        <v>45628</v>
      </c>
    </row>
    <row r="279" spans="1:9" x14ac:dyDescent="0.3">
      <c r="A279" s="8" t="s">
        <v>287</v>
      </c>
      <c r="B279" s="8" t="s">
        <v>643</v>
      </c>
      <c r="C279" s="8" t="s">
        <v>811</v>
      </c>
      <c r="D279" s="8">
        <v>771</v>
      </c>
      <c r="E279" s="8" t="s">
        <v>812</v>
      </c>
      <c r="F279" s="8" t="s">
        <v>312</v>
      </c>
      <c r="G279" s="8" t="s">
        <v>35</v>
      </c>
      <c r="H279" s="8" t="s">
        <v>289</v>
      </c>
      <c r="I279" s="9">
        <v>45566</v>
      </c>
    </row>
    <row r="280" spans="1:9" x14ac:dyDescent="0.3">
      <c r="A280" s="8" t="s">
        <v>643</v>
      </c>
      <c r="B280" s="8" t="s">
        <v>643</v>
      </c>
      <c r="C280" s="8" t="s">
        <v>813</v>
      </c>
      <c r="D280" s="8">
        <v>711</v>
      </c>
      <c r="E280" s="8" t="s">
        <v>814</v>
      </c>
      <c r="F280" s="8" t="s">
        <v>463</v>
      </c>
      <c r="G280" s="8" t="s">
        <v>35</v>
      </c>
      <c r="H280" s="8" t="s">
        <v>289</v>
      </c>
      <c r="I280" s="9">
        <v>45446</v>
      </c>
    </row>
    <row r="281" spans="1:9" x14ac:dyDescent="0.3">
      <c r="A281" s="8" t="s">
        <v>643</v>
      </c>
      <c r="B281" s="8" t="s">
        <v>643</v>
      </c>
      <c r="C281" s="8" t="s">
        <v>815</v>
      </c>
      <c r="D281" s="8">
        <v>874</v>
      </c>
      <c r="E281" s="8" t="s">
        <v>816</v>
      </c>
      <c r="F281" s="8" t="s">
        <v>463</v>
      </c>
      <c r="G281" s="8" t="s">
        <v>35</v>
      </c>
      <c r="H281" s="11" t="s">
        <v>289</v>
      </c>
      <c r="I281" s="9">
        <v>45782</v>
      </c>
    </row>
    <row r="282" spans="1:9" x14ac:dyDescent="0.3">
      <c r="A282" s="8" t="s">
        <v>643</v>
      </c>
      <c r="B282" s="8" t="s">
        <v>643</v>
      </c>
      <c r="C282" s="8" t="s">
        <v>817</v>
      </c>
      <c r="D282" s="8">
        <v>875</v>
      </c>
      <c r="E282" s="8" t="s">
        <v>818</v>
      </c>
      <c r="F282" s="8" t="s">
        <v>463</v>
      </c>
      <c r="G282" s="8" t="s">
        <v>35</v>
      </c>
      <c r="H282" s="8" t="s">
        <v>289</v>
      </c>
      <c r="I282" s="9">
        <v>45782</v>
      </c>
    </row>
    <row r="283" spans="1:9" x14ac:dyDescent="0.3">
      <c r="A283" s="8" t="s">
        <v>643</v>
      </c>
      <c r="B283" s="8" t="s">
        <v>643</v>
      </c>
      <c r="C283" s="8" t="s">
        <v>819</v>
      </c>
      <c r="D283" s="8">
        <v>852</v>
      </c>
      <c r="E283" s="8" t="s">
        <v>820</v>
      </c>
      <c r="F283" s="8" t="s">
        <v>463</v>
      </c>
      <c r="G283" s="8" t="s">
        <v>35</v>
      </c>
      <c r="H283" s="8" t="s">
        <v>289</v>
      </c>
      <c r="I283" s="9">
        <v>45722</v>
      </c>
    </row>
    <row r="284" spans="1:9" x14ac:dyDescent="0.3">
      <c r="A284" s="8" t="s">
        <v>643</v>
      </c>
      <c r="B284" s="8" t="s">
        <v>643</v>
      </c>
      <c r="C284" s="8" t="s">
        <v>821</v>
      </c>
      <c r="D284" s="8">
        <v>790</v>
      </c>
      <c r="E284" s="8" t="s">
        <v>822</v>
      </c>
      <c r="F284" s="8" t="s">
        <v>463</v>
      </c>
      <c r="G284" s="8" t="s">
        <v>35</v>
      </c>
      <c r="H284" s="8" t="s">
        <v>289</v>
      </c>
      <c r="I284" s="9">
        <v>45628</v>
      </c>
    </row>
    <row r="285" spans="1:9" x14ac:dyDescent="0.3">
      <c r="A285" s="8" t="s">
        <v>643</v>
      </c>
      <c r="B285" s="8" t="s">
        <v>643</v>
      </c>
      <c r="C285" s="8" t="s">
        <v>823</v>
      </c>
      <c r="D285" s="8">
        <v>847</v>
      </c>
      <c r="E285" s="8" t="s">
        <v>824</v>
      </c>
      <c r="F285" s="8" t="s">
        <v>463</v>
      </c>
      <c r="G285" s="8" t="s">
        <v>35</v>
      </c>
      <c r="H285" s="8" t="s">
        <v>289</v>
      </c>
      <c r="I285" s="9">
        <v>45722</v>
      </c>
    </row>
    <row r="286" spans="1:9" x14ac:dyDescent="0.3">
      <c r="A286" s="8" t="s">
        <v>643</v>
      </c>
      <c r="B286" s="8" t="s">
        <v>643</v>
      </c>
      <c r="C286" s="8" t="s">
        <v>825</v>
      </c>
      <c r="D286" s="8">
        <v>939</v>
      </c>
      <c r="E286" s="8" t="s">
        <v>826</v>
      </c>
      <c r="F286" s="8" t="s">
        <v>463</v>
      </c>
      <c r="G286" s="8" t="s">
        <v>35</v>
      </c>
      <c r="H286" s="8" t="s">
        <v>289</v>
      </c>
      <c r="I286" s="9">
        <v>45966</v>
      </c>
    </row>
    <row r="287" spans="1:9" x14ac:dyDescent="0.3">
      <c r="A287" s="8" t="s">
        <v>287</v>
      </c>
      <c r="B287" s="8" t="s">
        <v>643</v>
      </c>
      <c r="C287" s="8" t="s">
        <v>827</v>
      </c>
      <c r="D287" s="8">
        <v>753</v>
      </c>
      <c r="E287" s="8" t="s">
        <v>828</v>
      </c>
      <c r="F287" s="8" t="s">
        <v>463</v>
      </c>
      <c r="G287" s="8" t="s">
        <v>35</v>
      </c>
      <c r="H287" s="8" t="s">
        <v>289</v>
      </c>
      <c r="I287" s="9">
        <v>45520</v>
      </c>
    </row>
    <row r="288" spans="1:9" x14ac:dyDescent="0.3">
      <c r="A288" s="8" t="s">
        <v>287</v>
      </c>
      <c r="B288" s="8" t="s">
        <v>643</v>
      </c>
      <c r="C288" s="8" t="s">
        <v>829</v>
      </c>
      <c r="D288" s="8">
        <v>828</v>
      </c>
      <c r="E288" s="8" t="s">
        <v>830</v>
      </c>
      <c r="F288" s="8" t="s">
        <v>467</v>
      </c>
      <c r="G288" s="8" t="s">
        <v>35</v>
      </c>
      <c r="H288" s="8" t="s">
        <v>345</v>
      </c>
      <c r="I288" s="9">
        <v>45705</v>
      </c>
    </row>
  </sheetData>
  <phoneticPr fontId="6" type="noConversion"/>
  <pageMargins left="0.7" right="0.7" top="0.75" bottom="0.75" header="0.3" footer="0.3"/>
  <pageSetup paperSize="9" orientation="portrait"/>
  <headerFooter>
    <oddFooter>&amp;L_x000D_&amp;1#&amp;"Aptos"&amp;10&amp;K000000 Classificação da Informação: Restrito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97"/>
  <sheetViews>
    <sheetView topLeftCell="A181" workbookViewId="0">
      <selection activeCell="R188" sqref="R188"/>
    </sheetView>
  </sheetViews>
  <sheetFormatPr defaultRowHeight="15" customHeight="1" x14ac:dyDescent="0.3"/>
  <cols>
    <col min="1" max="1" width="21.88671875" bestFit="1" customWidth="1"/>
    <col min="2" max="2" width="45" bestFit="1" customWidth="1"/>
    <col min="3" max="3" width="47.44140625" bestFit="1" customWidth="1"/>
    <col min="4" max="4" width="7.33203125" bestFit="1" customWidth="1"/>
    <col min="5" max="5" width="18.6640625" bestFit="1" customWidth="1"/>
    <col min="6" max="6" width="41.44140625" bestFit="1" customWidth="1"/>
    <col min="7" max="7" width="18.109375" bestFit="1" customWidth="1"/>
    <col min="8" max="8" width="15.44140625" bestFit="1" customWidth="1"/>
    <col min="9" max="9" width="20.33203125" bestFit="1" customWidth="1"/>
    <col min="10" max="10" width="17.5546875" bestFit="1" customWidth="1"/>
    <col min="11" max="11" width="25.5546875" bestFit="1" customWidth="1"/>
    <col min="12" max="12" width="15.5546875" bestFit="1" customWidth="1"/>
    <col min="13" max="13" width="41.44140625" bestFit="1" customWidth="1"/>
    <col min="14" max="14" width="47.44140625" bestFit="1" customWidth="1"/>
    <col min="15" max="15" width="18.6640625" bestFit="1" customWidth="1"/>
    <col min="16" max="16" width="18.44140625" bestFit="1" customWidth="1"/>
    <col min="17" max="17" width="138.6640625" bestFit="1" customWidth="1"/>
  </cols>
  <sheetData>
    <row r="1" spans="1:17" ht="14.4" x14ac:dyDescent="0.3">
      <c r="A1" s="4" t="s">
        <v>831</v>
      </c>
      <c r="B1" s="4" t="s">
        <v>832</v>
      </c>
      <c r="C1" s="4" t="s">
        <v>833</v>
      </c>
      <c r="D1" s="4" t="s">
        <v>2</v>
      </c>
      <c r="E1" s="4" t="s">
        <v>834</v>
      </c>
      <c r="F1" s="4" t="s">
        <v>835</v>
      </c>
      <c r="G1" s="4" t="s">
        <v>836</v>
      </c>
      <c r="H1" s="4" t="s">
        <v>837</v>
      </c>
      <c r="I1" s="4" t="s">
        <v>838</v>
      </c>
      <c r="J1" s="4" t="s">
        <v>839</v>
      </c>
      <c r="K1" s="4" t="s">
        <v>840</v>
      </c>
      <c r="L1" s="4" t="s">
        <v>841</v>
      </c>
      <c r="M1" s="4" t="s">
        <v>842</v>
      </c>
      <c r="N1" s="4" t="s">
        <v>843</v>
      </c>
      <c r="O1" s="4" t="s">
        <v>844</v>
      </c>
      <c r="P1" s="4" t="s">
        <v>845</v>
      </c>
      <c r="Q1" s="4" t="s">
        <v>846</v>
      </c>
    </row>
    <row r="2" spans="1:17" ht="14.4" x14ac:dyDescent="0.3">
      <c r="A2" s="12" t="s">
        <v>847</v>
      </c>
      <c r="B2" s="12" t="s">
        <v>425</v>
      </c>
      <c r="C2" s="12" t="s">
        <v>737</v>
      </c>
      <c r="D2" s="12"/>
      <c r="E2" s="12" t="s">
        <v>848</v>
      </c>
      <c r="F2" s="13"/>
      <c r="G2" s="12" t="s">
        <v>848</v>
      </c>
      <c r="H2" s="13"/>
      <c r="I2" s="12" t="s">
        <v>848</v>
      </c>
      <c r="J2" s="13"/>
      <c r="K2" s="12" t="s">
        <v>848</v>
      </c>
      <c r="L2" s="13"/>
      <c r="M2" s="12" t="s">
        <v>743</v>
      </c>
      <c r="N2" s="12" t="s">
        <v>741</v>
      </c>
      <c r="O2" s="12" t="str">
        <f>IF(TabelaRespostas[[#This Row],[Momento do Envio]]&gt;=1,"SIM","NÃO")</f>
        <v>SIM</v>
      </c>
      <c r="P2" s="12" t="s">
        <v>849</v>
      </c>
      <c r="Q2" s="12"/>
    </row>
    <row r="3" spans="1:17" ht="14.4" x14ac:dyDescent="0.3">
      <c r="A3" s="12" t="s">
        <v>847</v>
      </c>
      <c r="B3" s="12" t="s">
        <v>425</v>
      </c>
      <c r="C3" s="12" t="s">
        <v>741</v>
      </c>
      <c r="D3" s="12"/>
      <c r="E3" s="12" t="s">
        <v>848</v>
      </c>
      <c r="F3" s="13"/>
      <c r="G3" s="12" t="s">
        <v>848</v>
      </c>
      <c r="H3" s="13"/>
      <c r="I3" s="12" t="s">
        <v>848</v>
      </c>
      <c r="J3" s="13"/>
      <c r="K3" s="12" t="s">
        <v>848</v>
      </c>
      <c r="L3" s="13"/>
      <c r="M3" s="12" t="s">
        <v>737</v>
      </c>
      <c r="N3" s="12" t="s">
        <v>743</v>
      </c>
      <c r="O3" s="12" t="str">
        <f>IF(TabelaRespostas[[#This Row],[Momento do Envio]]&gt;=1,"SIM","NÃO")</f>
        <v>SIM</v>
      </c>
      <c r="P3" s="12" t="s">
        <v>849</v>
      </c>
      <c r="Q3" s="12"/>
    </row>
    <row r="4" spans="1:17" ht="14.4" x14ac:dyDescent="0.3">
      <c r="A4" s="12" t="s">
        <v>847</v>
      </c>
      <c r="B4" s="12" t="s">
        <v>425</v>
      </c>
      <c r="C4" s="12" t="s">
        <v>743</v>
      </c>
      <c r="D4" s="12"/>
      <c r="E4" s="12" t="s">
        <v>848</v>
      </c>
      <c r="F4" s="13"/>
      <c r="G4" s="12" t="s">
        <v>848</v>
      </c>
      <c r="H4" s="13"/>
      <c r="I4" s="12" t="s">
        <v>848</v>
      </c>
      <c r="J4" s="13"/>
      <c r="K4" s="12" t="s">
        <v>848</v>
      </c>
      <c r="L4" s="13"/>
      <c r="M4" s="12" t="s">
        <v>741</v>
      </c>
      <c r="N4" s="12" t="s">
        <v>737</v>
      </c>
      <c r="O4" s="12" t="str">
        <f>IF(TabelaRespostas[[#This Row],[Momento do Envio]]&gt;=1,"SIM","NÃO")</f>
        <v>SIM</v>
      </c>
      <c r="P4" s="12" t="s">
        <v>849</v>
      </c>
      <c r="Q4" s="12"/>
    </row>
    <row r="5" spans="1:17" ht="14.4" x14ac:dyDescent="0.3">
      <c r="A5" s="12" t="s">
        <v>850</v>
      </c>
      <c r="B5" s="12" t="s">
        <v>503</v>
      </c>
      <c r="C5" s="12" t="s">
        <v>557</v>
      </c>
      <c r="D5" s="12"/>
      <c r="E5" s="12" t="s">
        <v>848</v>
      </c>
      <c r="F5" s="13"/>
      <c r="G5" s="12" t="s">
        <v>848</v>
      </c>
      <c r="H5" s="13"/>
      <c r="I5" s="12" t="s">
        <v>848</v>
      </c>
      <c r="J5" s="13"/>
      <c r="K5" s="12" t="s">
        <v>848</v>
      </c>
      <c r="L5" s="13"/>
      <c r="M5" s="12" t="s">
        <v>559</v>
      </c>
      <c r="N5" s="12" t="s">
        <v>561</v>
      </c>
      <c r="O5" s="12" t="str">
        <f>IF(TabelaRespostas[[#This Row],[Momento do Envio]]&gt;=1,"SIM","NÃO")</f>
        <v>SIM</v>
      </c>
      <c r="P5" s="12" t="s">
        <v>851</v>
      </c>
      <c r="Q5" s="12"/>
    </row>
    <row r="6" spans="1:17" ht="15" customHeight="1" x14ac:dyDescent="0.3">
      <c r="A6" s="12" t="s">
        <v>850</v>
      </c>
      <c r="B6" s="12" t="s">
        <v>503</v>
      </c>
      <c r="C6" s="12" t="s">
        <v>559</v>
      </c>
      <c r="D6" s="12"/>
      <c r="E6" s="12" t="s">
        <v>848</v>
      </c>
      <c r="F6" s="13"/>
      <c r="G6" s="12" t="s">
        <v>848</v>
      </c>
      <c r="H6" s="13"/>
      <c r="I6" s="12" t="s">
        <v>848</v>
      </c>
      <c r="J6" s="13"/>
      <c r="K6" s="12" t="s">
        <v>848</v>
      </c>
      <c r="L6" s="13"/>
      <c r="M6" s="12" t="s">
        <v>557</v>
      </c>
      <c r="N6" s="12" t="s">
        <v>561</v>
      </c>
      <c r="O6" s="12" t="str">
        <f>IF(TabelaRespostas[[#This Row],[Momento do Envio]]&gt;=1,"SIM","NÃO")</f>
        <v>SIM</v>
      </c>
      <c r="P6" s="12" t="s">
        <v>851</v>
      </c>
      <c r="Q6" s="12"/>
    </row>
    <row r="7" spans="1:17" ht="15" customHeight="1" x14ac:dyDescent="0.3">
      <c r="A7" s="12" t="s">
        <v>850</v>
      </c>
      <c r="B7" s="12" t="s">
        <v>503</v>
      </c>
      <c r="C7" s="12" t="s">
        <v>561</v>
      </c>
      <c r="D7" s="12"/>
      <c r="E7" s="12" t="s">
        <v>848</v>
      </c>
      <c r="F7" s="13"/>
      <c r="G7" s="12" t="s">
        <v>848</v>
      </c>
      <c r="H7" s="13"/>
      <c r="I7" s="12" t="s">
        <v>848</v>
      </c>
      <c r="J7" s="13"/>
      <c r="K7" s="12" t="s">
        <v>848</v>
      </c>
      <c r="L7" s="13"/>
      <c r="M7" s="12" t="s">
        <v>559</v>
      </c>
      <c r="N7" s="12" t="s">
        <v>557</v>
      </c>
      <c r="O7" s="12" t="str">
        <f>IF(TabelaRespostas[[#This Row],[Momento do Envio]]&gt;=1,"SIM","NÃO")</f>
        <v>SIM</v>
      </c>
      <c r="P7" s="12" t="s">
        <v>851</v>
      </c>
      <c r="Q7" s="12"/>
    </row>
    <row r="8" spans="1:17" ht="15" customHeight="1" x14ac:dyDescent="0.3">
      <c r="A8" s="12" t="s">
        <v>852</v>
      </c>
      <c r="B8" s="12" t="s">
        <v>255</v>
      </c>
      <c r="C8" s="12" t="s">
        <v>257</v>
      </c>
      <c r="D8" s="12"/>
      <c r="E8" s="12" t="s">
        <v>848</v>
      </c>
      <c r="F8" s="13"/>
      <c r="G8" s="12" t="s">
        <v>848</v>
      </c>
      <c r="H8" s="13"/>
      <c r="I8" s="12" t="s">
        <v>848</v>
      </c>
      <c r="J8" s="13"/>
      <c r="K8" s="12" t="s">
        <v>848</v>
      </c>
      <c r="L8" s="13"/>
      <c r="M8" s="12" t="s">
        <v>263</v>
      </c>
      <c r="N8" s="12" t="s">
        <v>261</v>
      </c>
      <c r="O8" s="12" t="str">
        <f>IF(TabelaRespostas[[#This Row],[Momento do Envio]]&gt;=1,"SIM","NÃO")</f>
        <v>SIM</v>
      </c>
      <c r="P8" s="12" t="s">
        <v>853</v>
      </c>
      <c r="Q8" s="12"/>
    </row>
    <row r="9" spans="1:17" ht="15" customHeight="1" x14ac:dyDescent="0.3">
      <c r="A9" s="12" t="s">
        <v>852</v>
      </c>
      <c r="B9" s="12" t="s">
        <v>255</v>
      </c>
      <c r="C9" s="12" t="s">
        <v>261</v>
      </c>
      <c r="D9" s="12"/>
      <c r="E9" s="12" t="s">
        <v>848</v>
      </c>
      <c r="F9" s="13"/>
      <c r="G9" s="12" t="s">
        <v>848</v>
      </c>
      <c r="H9" s="13"/>
      <c r="I9" s="12" t="s">
        <v>848</v>
      </c>
      <c r="J9" s="13"/>
      <c r="K9" s="12" t="s">
        <v>848</v>
      </c>
      <c r="L9" s="13"/>
      <c r="M9" s="12" t="s">
        <v>266</v>
      </c>
      <c r="N9" s="12" t="s">
        <v>263</v>
      </c>
      <c r="O9" s="12" t="str">
        <f>IF(TabelaRespostas[[#This Row],[Momento do Envio]]&gt;=1,"SIM","NÃO")</f>
        <v>SIM</v>
      </c>
      <c r="P9" s="12" t="s">
        <v>853</v>
      </c>
      <c r="Q9" s="12"/>
    </row>
    <row r="10" spans="1:17" ht="15" customHeight="1" x14ac:dyDescent="0.3">
      <c r="A10" s="12" t="s">
        <v>852</v>
      </c>
      <c r="B10" s="12" t="s">
        <v>255</v>
      </c>
      <c r="C10" s="12" t="s">
        <v>263</v>
      </c>
      <c r="D10" s="12"/>
      <c r="E10" s="12" t="s">
        <v>848</v>
      </c>
      <c r="F10" s="13"/>
      <c r="G10" s="12" t="s">
        <v>848</v>
      </c>
      <c r="H10" s="13"/>
      <c r="I10" s="12" t="s">
        <v>848</v>
      </c>
      <c r="J10" s="13"/>
      <c r="K10" s="12" t="s">
        <v>848</v>
      </c>
      <c r="L10" s="13"/>
      <c r="M10" s="12" t="s">
        <v>257</v>
      </c>
      <c r="N10" s="12" t="s">
        <v>269</v>
      </c>
      <c r="O10" s="12" t="str">
        <f>IF(TabelaRespostas[[#This Row],[Momento do Envio]]&gt;=1,"SIM","NÃO")</f>
        <v>SIM</v>
      </c>
      <c r="P10" s="12" t="s">
        <v>853</v>
      </c>
      <c r="Q10" s="12"/>
    </row>
    <row r="11" spans="1:17" ht="15" customHeight="1" x14ac:dyDescent="0.3">
      <c r="A11" s="12" t="s">
        <v>852</v>
      </c>
      <c r="B11" s="12" t="s">
        <v>255</v>
      </c>
      <c r="C11" s="12" t="s">
        <v>266</v>
      </c>
      <c r="D11" s="12"/>
      <c r="E11" s="12" t="s">
        <v>848</v>
      </c>
      <c r="F11" s="13"/>
      <c r="G11" s="12" t="s">
        <v>848</v>
      </c>
      <c r="H11" s="13"/>
      <c r="I11" s="12" t="s">
        <v>848</v>
      </c>
      <c r="J11" s="13"/>
      <c r="K11" s="12" t="s">
        <v>848</v>
      </c>
      <c r="L11" s="13"/>
      <c r="M11" s="12" t="s">
        <v>269</v>
      </c>
      <c r="N11" s="12" t="s">
        <v>261</v>
      </c>
      <c r="O11" s="12" t="str">
        <f>IF(TabelaRespostas[[#This Row],[Momento do Envio]]&gt;=1,"SIM","NÃO")</f>
        <v>SIM</v>
      </c>
      <c r="P11" s="12" t="s">
        <v>853</v>
      </c>
      <c r="Q11" s="12"/>
    </row>
    <row r="12" spans="1:17" ht="15" customHeight="1" x14ac:dyDescent="0.3">
      <c r="A12" s="12" t="s">
        <v>852</v>
      </c>
      <c r="B12" s="12" t="s">
        <v>255</v>
      </c>
      <c r="C12" s="12" t="s">
        <v>269</v>
      </c>
      <c r="D12" s="12"/>
      <c r="E12" s="12" t="s">
        <v>848</v>
      </c>
      <c r="F12" s="13"/>
      <c r="G12" s="12" t="s">
        <v>848</v>
      </c>
      <c r="H12" s="13"/>
      <c r="I12" s="12" t="s">
        <v>848</v>
      </c>
      <c r="J12" s="13"/>
      <c r="K12" s="12" t="s">
        <v>848</v>
      </c>
      <c r="L12" s="13"/>
      <c r="M12" s="12" t="s">
        <v>266</v>
      </c>
      <c r="N12" s="12" t="s">
        <v>261</v>
      </c>
      <c r="O12" s="12" t="str">
        <f>IF(TabelaRespostas[[#This Row],[Momento do Envio]]&gt;=1,"SIM","NÃO")</f>
        <v>SIM</v>
      </c>
      <c r="P12" s="12" t="s">
        <v>853</v>
      </c>
      <c r="Q12" s="12"/>
    </row>
    <row r="13" spans="1:17" ht="15" customHeight="1" x14ac:dyDescent="0.3">
      <c r="A13" s="12" t="s">
        <v>854</v>
      </c>
      <c r="B13" s="12" t="s">
        <v>38</v>
      </c>
      <c r="C13" s="12" t="s">
        <v>582</v>
      </c>
      <c r="D13" s="12"/>
      <c r="E13" s="12" t="s">
        <v>848</v>
      </c>
      <c r="F13" s="13"/>
      <c r="G13" s="12" t="s">
        <v>848</v>
      </c>
      <c r="H13" s="13"/>
      <c r="I13" s="12" t="s">
        <v>848</v>
      </c>
      <c r="J13" s="13"/>
      <c r="K13" s="12" t="s">
        <v>848</v>
      </c>
      <c r="L13" s="13"/>
      <c r="M13" s="12" t="s">
        <v>585</v>
      </c>
      <c r="N13" s="12" t="s">
        <v>587</v>
      </c>
      <c r="O13" s="12" t="str">
        <f>IF(TabelaRespostas[[#This Row],[Momento do Envio]]&gt;=1,"SIM","NÃO")</f>
        <v>SIM</v>
      </c>
      <c r="P13" s="12" t="s">
        <v>855</v>
      </c>
      <c r="Q13" s="12"/>
    </row>
    <row r="14" spans="1:17" ht="15" customHeight="1" x14ac:dyDescent="0.3">
      <c r="A14" s="12" t="s">
        <v>854</v>
      </c>
      <c r="B14" s="12" t="s">
        <v>38</v>
      </c>
      <c r="C14" s="12" t="s">
        <v>585</v>
      </c>
      <c r="D14" s="12"/>
      <c r="E14" s="12" t="s">
        <v>848</v>
      </c>
      <c r="F14" s="13"/>
      <c r="G14" s="12" t="s">
        <v>848</v>
      </c>
      <c r="H14" s="13"/>
      <c r="I14" s="12" t="s">
        <v>848</v>
      </c>
      <c r="J14" s="13"/>
      <c r="K14" s="12" t="s">
        <v>848</v>
      </c>
      <c r="L14" s="13"/>
      <c r="M14" s="12" t="s">
        <v>582</v>
      </c>
      <c r="N14" s="12" t="s">
        <v>589</v>
      </c>
      <c r="O14" s="12" t="str">
        <f>IF(TabelaRespostas[[#This Row],[Momento do Envio]]&gt;=1,"SIM","NÃO")</f>
        <v>SIM</v>
      </c>
      <c r="P14" s="12" t="s">
        <v>855</v>
      </c>
      <c r="Q14" s="12"/>
    </row>
    <row r="15" spans="1:17" ht="15" customHeight="1" x14ac:dyDescent="0.3">
      <c r="A15" s="12" t="s">
        <v>854</v>
      </c>
      <c r="B15" s="12" t="s">
        <v>38</v>
      </c>
      <c r="C15" s="12" t="s">
        <v>587</v>
      </c>
      <c r="D15" s="12"/>
      <c r="E15" s="12" t="s">
        <v>848</v>
      </c>
      <c r="F15" s="13"/>
      <c r="G15" s="12" t="s">
        <v>848</v>
      </c>
      <c r="H15" s="13"/>
      <c r="I15" s="12" t="s">
        <v>848</v>
      </c>
      <c r="J15" s="13"/>
      <c r="K15" s="12" t="s">
        <v>848</v>
      </c>
      <c r="L15" s="13"/>
      <c r="M15" s="12" t="s">
        <v>589</v>
      </c>
      <c r="N15" s="12" t="s">
        <v>591</v>
      </c>
      <c r="O15" s="12" t="str">
        <f>IF(TabelaRespostas[[#This Row],[Momento do Envio]]&gt;=1,"SIM","NÃO")</f>
        <v>SIM</v>
      </c>
      <c r="P15" s="12" t="s">
        <v>855</v>
      </c>
      <c r="Q15" s="12"/>
    </row>
    <row r="16" spans="1:17" ht="15" customHeight="1" x14ac:dyDescent="0.3">
      <c r="A16" s="12" t="s">
        <v>854</v>
      </c>
      <c r="B16" s="12" t="s">
        <v>38</v>
      </c>
      <c r="C16" s="12" t="s">
        <v>589</v>
      </c>
      <c r="D16" s="12"/>
      <c r="E16" s="12" t="s">
        <v>848</v>
      </c>
      <c r="F16" s="13"/>
      <c r="G16" s="12" t="s">
        <v>848</v>
      </c>
      <c r="H16" s="13"/>
      <c r="I16" s="12" t="s">
        <v>848</v>
      </c>
      <c r="J16" s="13"/>
      <c r="K16" s="12" t="s">
        <v>848</v>
      </c>
      <c r="L16" s="13"/>
      <c r="M16" s="12" t="s">
        <v>585</v>
      </c>
      <c r="N16" s="12" t="s">
        <v>587</v>
      </c>
      <c r="O16" s="12" t="str">
        <f>IF(TabelaRespostas[[#This Row],[Momento do Envio]]&gt;=1,"SIM","NÃO")</f>
        <v>SIM</v>
      </c>
      <c r="P16" s="12" t="s">
        <v>855</v>
      </c>
      <c r="Q16" s="12"/>
    </row>
    <row r="17" spans="1:17" ht="15" customHeight="1" x14ac:dyDescent="0.3">
      <c r="A17" s="12" t="s">
        <v>854</v>
      </c>
      <c r="B17" s="12" t="s">
        <v>38</v>
      </c>
      <c r="C17" s="12" t="s">
        <v>591</v>
      </c>
      <c r="D17" s="12"/>
      <c r="E17" s="12" t="s">
        <v>848</v>
      </c>
      <c r="F17" s="13"/>
      <c r="G17" s="12" t="s">
        <v>848</v>
      </c>
      <c r="H17" s="13"/>
      <c r="I17" s="12" t="s">
        <v>848</v>
      </c>
      <c r="J17" s="13"/>
      <c r="K17" s="12" t="s">
        <v>848</v>
      </c>
      <c r="L17" s="13"/>
      <c r="M17" s="12" t="s">
        <v>582</v>
      </c>
      <c r="N17" s="12" t="s">
        <v>593</v>
      </c>
      <c r="O17" s="12" t="str">
        <f>IF(TabelaRespostas[[#This Row],[Momento do Envio]]&gt;=1,"SIM","NÃO")</f>
        <v>SIM</v>
      </c>
      <c r="P17" s="12" t="s">
        <v>855</v>
      </c>
      <c r="Q17" s="12"/>
    </row>
    <row r="18" spans="1:17" ht="15" customHeight="1" x14ac:dyDescent="0.3">
      <c r="A18" s="12" t="s">
        <v>854</v>
      </c>
      <c r="B18" s="12" t="s">
        <v>38</v>
      </c>
      <c r="C18" s="12" t="s">
        <v>593</v>
      </c>
      <c r="D18" s="12"/>
      <c r="E18" s="12" t="s">
        <v>848</v>
      </c>
      <c r="F18" s="13"/>
      <c r="G18" s="12" t="s">
        <v>848</v>
      </c>
      <c r="H18" s="13"/>
      <c r="I18" s="12" t="s">
        <v>848</v>
      </c>
      <c r="J18" s="13"/>
      <c r="K18" s="12" t="s">
        <v>848</v>
      </c>
      <c r="L18" s="13"/>
      <c r="M18" s="12" t="s">
        <v>595</v>
      </c>
      <c r="N18" s="12" t="s">
        <v>591</v>
      </c>
      <c r="O18" s="12" t="str">
        <f>IF(TabelaRespostas[[#This Row],[Momento do Envio]]&gt;=1,"SIM","NÃO")</f>
        <v>SIM</v>
      </c>
      <c r="P18" s="12" t="s">
        <v>855</v>
      </c>
      <c r="Q18" s="12"/>
    </row>
    <row r="19" spans="1:17" ht="15" customHeight="1" x14ac:dyDescent="0.3">
      <c r="A19" s="12" t="s">
        <v>854</v>
      </c>
      <c r="B19" s="12" t="s">
        <v>38</v>
      </c>
      <c r="C19" s="12" t="s">
        <v>595</v>
      </c>
      <c r="D19" s="12"/>
      <c r="E19" s="12" t="s">
        <v>848</v>
      </c>
      <c r="F19" s="13"/>
      <c r="G19" s="12" t="s">
        <v>848</v>
      </c>
      <c r="H19" s="13"/>
      <c r="I19" s="12" t="s">
        <v>848</v>
      </c>
      <c r="J19" s="13"/>
      <c r="K19" s="12" t="s">
        <v>848</v>
      </c>
      <c r="L19" s="13"/>
      <c r="M19" s="12" t="s">
        <v>587</v>
      </c>
      <c r="N19" s="12" t="s">
        <v>589</v>
      </c>
      <c r="O19" s="12" t="str">
        <f>IF(TabelaRespostas[[#This Row],[Momento do Envio]]&gt;=1,"SIM","NÃO")</f>
        <v>SIM</v>
      </c>
      <c r="P19" s="12" t="s">
        <v>855</v>
      </c>
      <c r="Q19" s="12"/>
    </row>
    <row r="20" spans="1:17" ht="15" customHeight="1" x14ac:dyDescent="0.3">
      <c r="A20" s="12" t="s">
        <v>856</v>
      </c>
      <c r="B20" s="12" t="s">
        <v>29</v>
      </c>
      <c r="C20" s="12" t="s">
        <v>33</v>
      </c>
      <c r="D20" s="12"/>
      <c r="E20" s="12" t="s">
        <v>848</v>
      </c>
      <c r="F20" s="13"/>
      <c r="G20" s="12" t="s">
        <v>848</v>
      </c>
      <c r="H20" s="13"/>
      <c r="I20" s="12" t="s">
        <v>848</v>
      </c>
      <c r="J20" s="13"/>
      <c r="K20" s="12" t="s">
        <v>848</v>
      </c>
      <c r="L20" s="13"/>
      <c r="M20" s="12" t="s">
        <v>38</v>
      </c>
      <c r="N20" s="12" t="s">
        <v>270</v>
      </c>
      <c r="O20" s="12" t="str">
        <f>IF(TabelaRespostas[[#This Row],[Momento do Envio]]&gt;=1,"SIM","NÃO")</f>
        <v>SIM</v>
      </c>
      <c r="P20" s="12" t="s">
        <v>857</v>
      </c>
      <c r="Q20" s="14" t="s">
        <v>858</v>
      </c>
    </row>
    <row r="21" spans="1:17" ht="15" customHeight="1" x14ac:dyDescent="0.3">
      <c r="A21" s="12" t="s">
        <v>856</v>
      </c>
      <c r="B21" s="12" t="s">
        <v>29</v>
      </c>
      <c r="C21" s="12" t="s">
        <v>38</v>
      </c>
      <c r="D21" s="12"/>
      <c r="E21" s="12" t="s">
        <v>848</v>
      </c>
      <c r="F21" s="13"/>
      <c r="G21" s="12" t="s">
        <v>848</v>
      </c>
      <c r="H21" s="13"/>
      <c r="I21" s="12" t="s">
        <v>848</v>
      </c>
      <c r="J21" s="13"/>
      <c r="K21" s="12" t="s">
        <v>848</v>
      </c>
      <c r="L21" s="13"/>
      <c r="M21" s="12" t="s">
        <v>33</v>
      </c>
      <c r="N21" s="12" t="s">
        <v>41</v>
      </c>
      <c r="O21" s="12" t="str">
        <f>IF(TabelaRespostas[[#This Row],[Momento do Envio]]&gt;=1,"SIM","NÃO")</f>
        <v>SIM</v>
      </c>
      <c r="P21" s="12" t="s">
        <v>857</v>
      </c>
      <c r="Q21" s="14" t="s">
        <v>858</v>
      </c>
    </row>
    <row r="22" spans="1:17" ht="15" customHeight="1" x14ac:dyDescent="0.3">
      <c r="A22" s="12" t="s">
        <v>856</v>
      </c>
      <c r="B22" s="12" t="s">
        <v>29</v>
      </c>
      <c r="C22" s="12" t="s">
        <v>41</v>
      </c>
      <c r="D22" s="12"/>
      <c r="E22" s="12" t="s">
        <v>848</v>
      </c>
      <c r="F22" s="13"/>
      <c r="G22" s="12" t="s">
        <v>848</v>
      </c>
      <c r="H22" s="13"/>
      <c r="I22" s="12" t="s">
        <v>848</v>
      </c>
      <c r="J22" s="13"/>
      <c r="K22" s="12" t="s">
        <v>848</v>
      </c>
      <c r="L22" s="13"/>
      <c r="M22" s="12" t="s">
        <v>38</v>
      </c>
      <c r="N22" s="12" t="s">
        <v>33</v>
      </c>
      <c r="O22" s="12" t="str">
        <f>IF(TabelaRespostas[[#This Row],[Momento do Envio]]&gt;=1,"SIM","NÃO")</f>
        <v>SIM</v>
      </c>
      <c r="P22" s="12" t="s">
        <v>857</v>
      </c>
      <c r="Q22" s="14" t="s">
        <v>858</v>
      </c>
    </row>
    <row r="23" spans="1:17" ht="15" customHeight="1" x14ac:dyDescent="0.3">
      <c r="A23" s="12" t="s">
        <v>856</v>
      </c>
      <c r="B23" s="12" t="s">
        <v>29</v>
      </c>
      <c r="C23" s="12" t="s">
        <v>45</v>
      </c>
      <c r="D23" s="12"/>
      <c r="E23" s="12" t="s">
        <v>848</v>
      </c>
      <c r="F23" s="13"/>
      <c r="G23" s="12" t="s">
        <v>848</v>
      </c>
      <c r="H23" s="13"/>
      <c r="I23" s="12" t="s">
        <v>848</v>
      </c>
      <c r="J23" s="13"/>
      <c r="K23" s="12" t="s">
        <v>848</v>
      </c>
      <c r="L23" s="13"/>
      <c r="M23" s="12" t="s">
        <v>38</v>
      </c>
      <c r="N23" s="12" t="s">
        <v>41</v>
      </c>
      <c r="O23" s="12" t="str">
        <f>IF(TabelaRespostas[[#This Row],[Momento do Envio]]&gt;=1,"SIM","NÃO")</f>
        <v>SIM</v>
      </c>
      <c r="P23" s="12" t="s">
        <v>857</v>
      </c>
      <c r="Q23" s="14" t="s">
        <v>858</v>
      </c>
    </row>
    <row r="24" spans="1:17" ht="15" customHeight="1" x14ac:dyDescent="0.3">
      <c r="A24" s="12" t="s">
        <v>859</v>
      </c>
      <c r="B24" s="12" t="s">
        <v>341</v>
      </c>
      <c r="C24" s="12" t="s">
        <v>343</v>
      </c>
      <c r="D24" s="12"/>
      <c r="E24" s="12" t="s">
        <v>848</v>
      </c>
      <c r="F24" s="13"/>
      <c r="G24" s="12" t="s">
        <v>848</v>
      </c>
      <c r="H24" s="13"/>
      <c r="I24" s="12" t="s">
        <v>848</v>
      </c>
      <c r="J24" s="13"/>
      <c r="K24" s="12" t="s">
        <v>848</v>
      </c>
      <c r="L24" s="13"/>
      <c r="M24" s="12" t="s">
        <v>779</v>
      </c>
      <c r="N24" s="12" t="s">
        <v>654</v>
      </c>
      <c r="O24" s="12" t="str">
        <f>IF(TabelaRespostas[[#This Row],[Momento do Envio]]&gt;=1,"SIM","NÃO")</f>
        <v>SIM</v>
      </c>
      <c r="P24" s="12" t="s">
        <v>860</v>
      </c>
      <c r="Q24" s="14" t="s">
        <v>861</v>
      </c>
    </row>
    <row r="25" spans="1:17" ht="15" customHeight="1" x14ac:dyDescent="0.3">
      <c r="A25" s="12" t="s">
        <v>859</v>
      </c>
      <c r="B25" s="12" t="s">
        <v>341</v>
      </c>
      <c r="C25" s="12" t="s">
        <v>769</v>
      </c>
      <c r="D25" s="12"/>
      <c r="E25" s="12" t="s">
        <v>848</v>
      </c>
      <c r="F25" s="13"/>
      <c r="G25" s="12" t="s">
        <v>848</v>
      </c>
      <c r="H25" s="13"/>
      <c r="I25" s="12" t="s">
        <v>848</v>
      </c>
      <c r="J25" s="13"/>
      <c r="K25" s="12" t="s">
        <v>848</v>
      </c>
      <c r="L25" s="13"/>
      <c r="M25" s="12" t="s">
        <v>595</v>
      </c>
      <c r="N25" s="12" t="s">
        <v>589</v>
      </c>
      <c r="O25" s="12" t="str">
        <f>IF(TabelaRespostas[[#This Row],[Momento do Envio]]&gt;=1,"SIM","NÃO")</f>
        <v>SIM</v>
      </c>
      <c r="P25" s="12" t="s">
        <v>860</v>
      </c>
      <c r="Q25" s="14" t="s">
        <v>861</v>
      </c>
    </row>
    <row r="26" spans="1:17" ht="15" customHeight="1" x14ac:dyDescent="0.3">
      <c r="A26" s="12" t="s">
        <v>859</v>
      </c>
      <c r="B26" s="12" t="s">
        <v>341</v>
      </c>
      <c r="C26" s="12" t="s">
        <v>772</v>
      </c>
      <c r="D26" s="12"/>
      <c r="E26" s="12" t="s">
        <v>848</v>
      </c>
      <c r="F26" s="13"/>
      <c r="G26" s="12" t="s">
        <v>848</v>
      </c>
      <c r="H26" s="13"/>
      <c r="I26" s="12" t="s">
        <v>848</v>
      </c>
      <c r="J26" s="13"/>
      <c r="K26" s="12" t="s">
        <v>848</v>
      </c>
      <c r="L26" s="13"/>
      <c r="M26" s="12" t="s">
        <v>777</v>
      </c>
      <c r="N26" s="12" t="s">
        <v>779</v>
      </c>
      <c r="O26" s="12" t="str">
        <f>IF(TabelaRespostas[[#This Row],[Momento do Envio]]&gt;=1,"SIM","NÃO")</f>
        <v>SIM</v>
      </c>
      <c r="P26" s="12" t="s">
        <v>860</v>
      </c>
      <c r="Q26" s="14" t="s">
        <v>861</v>
      </c>
    </row>
    <row r="27" spans="1:17" ht="15" customHeight="1" x14ac:dyDescent="0.3">
      <c r="A27" s="12" t="s">
        <v>859</v>
      </c>
      <c r="B27" s="12" t="s">
        <v>341</v>
      </c>
      <c r="C27" s="12" t="s">
        <v>774</v>
      </c>
      <c r="D27" s="12"/>
      <c r="E27" s="12" t="s">
        <v>848</v>
      </c>
      <c r="F27" s="13"/>
      <c r="G27" s="12" t="s">
        <v>848</v>
      </c>
      <c r="H27" s="13"/>
      <c r="I27" s="12" t="s">
        <v>848</v>
      </c>
      <c r="J27" s="13"/>
      <c r="K27" s="12" t="s">
        <v>848</v>
      </c>
      <c r="L27" s="13"/>
      <c r="M27" s="12" t="s">
        <v>779</v>
      </c>
      <c r="N27" s="12" t="s">
        <v>366</v>
      </c>
      <c r="O27" s="12" t="str">
        <f>IF(TabelaRespostas[[#This Row],[Momento do Envio]]&gt;=1,"SIM","NÃO")</f>
        <v>SIM</v>
      </c>
      <c r="P27" s="12" t="s">
        <v>860</v>
      </c>
      <c r="Q27" s="14" t="s">
        <v>861</v>
      </c>
    </row>
    <row r="28" spans="1:17" ht="15" customHeight="1" x14ac:dyDescent="0.3">
      <c r="A28" s="12" t="s">
        <v>859</v>
      </c>
      <c r="B28" s="12" t="s">
        <v>341</v>
      </c>
      <c r="C28" s="12" t="s">
        <v>366</v>
      </c>
      <c r="D28" s="12"/>
      <c r="E28" s="12" t="s">
        <v>848</v>
      </c>
      <c r="F28" s="13"/>
      <c r="G28" s="12" t="s">
        <v>862</v>
      </c>
      <c r="H28" s="13" t="s">
        <v>344</v>
      </c>
      <c r="I28" s="12" t="s">
        <v>848</v>
      </c>
      <c r="J28" s="13"/>
      <c r="K28" s="12" t="s">
        <v>848</v>
      </c>
      <c r="L28" s="13"/>
      <c r="M28" s="12" t="s">
        <v>779</v>
      </c>
      <c r="N28" s="12" t="s">
        <v>563</v>
      </c>
      <c r="O28" s="12" t="str">
        <f>IF(TabelaRespostas[[#This Row],[Momento do Envio]]&gt;=1,"SIM","NÃO")</f>
        <v>SIM</v>
      </c>
      <c r="P28" s="12" t="s">
        <v>860</v>
      </c>
      <c r="Q28" s="14" t="s">
        <v>861</v>
      </c>
    </row>
    <row r="29" spans="1:17" ht="15" customHeight="1" x14ac:dyDescent="0.3">
      <c r="A29" s="12" t="s">
        <v>859</v>
      </c>
      <c r="B29" s="12" t="s">
        <v>341</v>
      </c>
      <c r="C29" s="12" t="s">
        <v>777</v>
      </c>
      <c r="D29" s="12"/>
      <c r="E29" s="12" t="s">
        <v>848</v>
      </c>
      <c r="F29" s="13"/>
      <c r="G29" s="12" t="s">
        <v>848</v>
      </c>
      <c r="H29" s="13"/>
      <c r="I29" s="12" t="s">
        <v>848</v>
      </c>
      <c r="J29" s="13"/>
      <c r="K29" s="12" t="s">
        <v>848</v>
      </c>
      <c r="L29" s="13"/>
      <c r="M29" s="12" t="s">
        <v>772</v>
      </c>
      <c r="N29" s="12" t="s">
        <v>654</v>
      </c>
      <c r="O29" s="12" t="str">
        <f>IF(TabelaRespostas[[#This Row],[Momento do Envio]]&gt;=1,"SIM","NÃO")</f>
        <v>SIM</v>
      </c>
      <c r="P29" s="12" t="s">
        <v>860</v>
      </c>
      <c r="Q29" s="14" t="s">
        <v>861</v>
      </c>
    </row>
    <row r="30" spans="1:17" ht="15" customHeight="1" x14ac:dyDescent="0.3">
      <c r="A30" s="12" t="s">
        <v>859</v>
      </c>
      <c r="B30" s="12" t="s">
        <v>341</v>
      </c>
      <c r="C30" s="12" t="s">
        <v>779</v>
      </c>
      <c r="D30" s="12"/>
      <c r="E30" s="12" t="s">
        <v>848</v>
      </c>
      <c r="F30" s="13"/>
      <c r="G30" s="12" t="s">
        <v>848</v>
      </c>
      <c r="H30" s="13"/>
      <c r="I30" s="12" t="s">
        <v>848</v>
      </c>
      <c r="J30" s="13"/>
      <c r="K30" s="12" t="s">
        <v>848</v>
      </c>
      <c r="L30" s="13"/>
      <c r="M30" s="12" t="s">
        <v>654</v>
      </c>
      <c r="N30" s="12" t="s">
        <v>772</v>
      </c>
      <c r="O30" s="12" t="str">
        <f>IF(TabelaRespostas[[#This Row],[Momento do Envio]]&gt;=1,"SIM","NÃO")</f>
        <v>SIM</v>
      </c>
      <c r="P30" s="12" t="s">
        <v>860</v>
      </c>
      <c r="Q30" s="14" t="s">
        <v>861</v>
      </c>
    </row>
    <row r="31" spans="1:17" ht="15" customHeight="1" x14ac:dyDescent="0.3">
      <c r="A31" s="12" t="s">
        <v>859</v>
      </c>
      <c r="B31" s="12" t="s">
        <v>341</v>
      </c>
      <c r="C31" s="12" t="s">
        <v>371</v>
      </c>
      <c r="D31" s="12"/>
      <c r="E31" s="12" t="s">
        <v>848</v>
      </c>
      <c r="F31" s="13"/>
      <c r="G31" s="12" t="s">
        <v>848</v>
      </c>
      <c r="H31" s="13"/>
      <c r="I31" s="12" t="s">
        <v>848</v>
      </c>
      <c r="J31" s="13"/>
      <c r="K31" s="12" t="s">
        <v>848</v>
      </c>
      <c r="L31" s="13"/>
      <c r="M31" s="12" t="s">
        <v>650</v>
      </c>
      <c r="N31" s="12" t="s">
        <v>366</v>
      </c>
      <c r="O31" s="12" t="str">
        <f>IF(TabelaRespostas[[#This Row],[Momento do Envio]]&gt;=1,"SIM","NÃO")</f>
        <v>SIM</v>
      </c>
      <c r="P31" s="12" t="s">
        <v>860</v>
      </c>
      <c r="Q31" s="14" t="s">
        <v>861</v>
      </c>
    </row>
    <row r="32" spans="1:17" ht="15" customHeight="1" x14ac:dyDescent="0.3">
      <c r="A32" s="12" t="s">
        <v>859</v>
      </c>
      <c r="B32" s="12" t="s">
        <v>341</v>
      </c>
      <c r="C32" s="12" t="s">
        <v>650</v>
      </c>
      <c r="D32" s="12"/>
      <c r="E32" s="12" t="s">
        <v>848</v>
      </c>
      <c r="F32" s="13"/>
      <c r="G32" s="12" t="s">
        <v>848</v>
      </c>
      <c r="H32" s="13"/>
      <c r="I32" s="12" t="s">
        <v>848</v>
      </c>
      <c r="J32" s="13"/>
      <c r="K32" s="12" t="s">
        <v>848</v>
      </c>
      <c r="L32" s="13"/>
      <c r="M32" s="12" t="s">
        <v>371</v>
      </c>
      <c r="N32" s="12" t="s">
        <v>366</v>
      </c>
      <c r="O32" s="12" t="str">
        <f>IF(TabelaRespostas[[#This Row],[Momento do Envio]]&gt;=1,"SIM","NÃO")</f>
        <v>SIM</v>
      </c>
      <c r="P32" s="12" t="s">
        <v>860</v>
      </c>
      <c r="Q32" s="14" t="s">
        <v>861</v>
      </c>
    </row>
    <row r="33" spans="1:17" ht="15" customHeight="1" x14ac:dyDescent="0.3">
      <c r="A33" s="12" t="s">
        <v>859</v>
      </c>
      <c r="B33" s="12" t="s">
        <v>341</v>
      </c>
      <c r="C33" s="12" t="s">
        <v>785</v>
      </c>
      <c r="D33" s="12"/>
      <c r="E33" s="12" t="s">
        <v>848</v>
      </c>
      <c r="F33" s="13"/>
      <c r="G33" s="12" t="s">
        <v>848</v>
      </c>
      <c r="H33" s="13"/>
      <c r="I33" s="12" t="s">
        <v>848</v>
      </c>
      <c r="J33" s="13"/>
      <c r="K33" s="12" t="s">
        <v>848</v>
      </c>
      <c r="L33" s="13"/>
      <c r="M33" s="12" t="s">
        <v>772</v>
      </c>
      <c r="N33" s="12" t="s">
        <v>777</v>
      </c>
      <c r="O33" s="12" t="str">
        <f>IF(TabelaRespostas[[#This Row],[Momento do Envio]]&gt;=1,"SIM","NÃO")</f>
        <v>SIM</v>
      </c>
      <c r="P33" s="12" t="s">
        <v>860</v>
      </c>
      <c r="Q33" s="14" t="s">
        <v>861</v>
      </c>
    </row>
    <row r="34" spans="1:17" ht="15" customHeight="1" x14ac:dyDescent="0.3">
      <c r="A34" s="12" t="s">
        <v>863</v>
      </c>
      <c r="B34" s="12" t="s">
        <v>183</v>
      </c>
      <c r="C34" s="12" t="s">
        <v>182</v>
      </c>
      <c r="D34" s="12"/>
      <c r="E34" s="12" t="s">
        <v>848</v>
      </c>
      <c r="F34" s="13"/>
      <c r="G34" s="12" t="s">
        <v>848</v>
      </c>
      <c r="H34" s="13"/>
      <c r="I34" s="12" t="s">
        <v>848</v>
      </c>
      <c r="J34" s="13"/>
      <c r="K34" s="12" t="s">
        <v>862</v>
      </c>
      <c r="L34" s="13"/>
      <c r="M34" s="12" t="s">
        <v>425</v>
      </c>
      <c r="N34" s="12" t="s">
        <v>255</v>
      </c>
      <c r="O34" s="12" t="str">
        <f>IF(TabelaRespostas[[#This Row],[Momento do Envio]]&gt;=1,"SIM","NÃO")</f>
        <v>SIM</v>
      </c>
      <c r="P34" s="12" t="s">
        <v>864</v>
      </c>
      <c r="Q34" s="14"/>
    </row>
    <row r="35" spans="1:17" ht="15" customHeight="1" x14ac:dyDescent="0.3">
      <c r="A35" s="12" t="s">
        <v>863</v>
      </c>
      <c r="B35" s="12" t="s">
        <v>183</v>
      </c>
      <c r="C35" s="12" t="s">
        <v>425</v>
      </c>
      <c r="D35" s="12"/>
      <c r="E35" s="12" t="s">
        <v>848</v>
      </c>
      <c r="F35" s="13"/>
      <c r="G35" s="12" t="s">
        <v>848</v>
      </c>
      <c r="H35" s="13"/>
      <c r="I35" s="12" t="s">
        <v>848</v>
      </c>
      <c r="J35" s="13"/>
      <c r="K35" s="12" t="s">
        <v>848</v>
      </c>
      <c r="L35" s="13"/>
      <c r="M35" s="12" t="s">
        <v>182</v>
      </c>
      <c r="N35" s="12" t="s">
        <v>255</v>
      </c>
      <c r="O35" s="12" t="str">
        <f>IF(TabelaRespostas[[#This Row],[Momento do Envio]]&gt;=1,"SIM","NÃO")</f>
        <v>SIM</v>
      </c>
      <c r="P35" s="12" t="s">
        <v>864</v>
      </c>
      <c r="Q35" s="14"/>
    </row>
    <row r="36" spans="1:17" ht="15" customHeight="1" x14ac:dyDescent="0.3">
      <c r="A36" s="12" t="s">
        <v>863</v>
      </c>
      <c r="B36" s="12" t="s">
        <v>183</v>
      </c>
      <c r="C36" s="12" t="s">
        <v>255</v>
      </c>
      <c r="D36" s="12"/>
      <c r="E36" s="12" t="s">
        <v>848</v>
      </c>
      <c r="F36" s="13"/>
      <c r="G36" s="12" t="s">
        <v>848</v>
      </c>
      <c r="H36" s="13"/>
      <c r="I36" s="12" t="s">
        <v>848</v>
      </c>
      <c r="J36" s="13"/>
      <c r="K36" s="12" t="s">
        <v>862</v>
      </c>
      <c r="L36" s="13"/>
      <c r="M36" s="12" t="s">
        <v>182</v>
      </c>
      <c r="N36" s="12" t="s">
        <v>425</v>
      </c>
      <c r="O36" s="12" t="str">
        <f>IF(TabelaRespostas[[#This Row],[Momento do Envio]]&gt;=1,"SIM","NÃO")</f>
        <v>SIM</v>
      </c>
      <c r="P36" s="12" t="s">
        <v>864</v>
      </c>
      <c r="Q36" s="14"/>
    </row>
    <row r="37" spans="1:17" ht="15" customHeight="1" x14ac:dyDescent="0.3">
      <c r="A37" s="12" t="s">
        <v>865</v>
      </c>
      <c r="B37" s="12" t="s">
        <v>67</v>
      </c>
      <c r="C37" s="12" t="s">
        <v>148</v>
      </c>
      <c r="D37" s="12"/>
      <c r="E37" s="12" t="s">
        <v>848</v>
      </c>
      <c r="F37" s="13"/>
      <c r="G37" s="12" t="s">
        <v>848</v>
      </c>
      <c r="H37" s="13"/>
      <c r="I37" s="12" t="s">
        <v>848</v>
      </c>
      <c r="J37" s="13"/>
      <c r="K37" s="12" t="s">
        <v>848</v>
      </c>
      <c r="L37" s="13"/>
      <c r="M37" s="12" t="s">
        <v>156</v>
      </c>
      <c r="N37" s="12" t="s">
        <v>415</v>
      </c>
      <c r="O37" s="12" t="str">
        <f>IF(TabelaRespostas[[#This Row],[Momento do Envio]]&gt;=1,"SIM","NÃO")</f>
        <v>SIM</v>
      </c>
      <c r="P37" s="12" t="s">
        <v>866</v>
      </c>
      <c r="Q37" s="14" t="s">
        <v>867</v>
      </c>
    </row>
    <row r="38" spans="1:17" ht="15" customHeight="1" x14ac:dyDescent="0.3">
      <c r="A38" s="12" t="s">
        <v>865</v>
      </c>
      <c r="B38" s="12" t="s">
        <v>67</v>
      </c>
      <c r="C38" s="12" t="s">
        <v>152</v>
      </c>
      <c r="D38" s="12"/>
      <c r="E38" s="12" t="s">
        <v>862</v>
      </c>
      <c r="F38" s="13" t="s">
        <v>64</v>
      </c>
      <c r="G38" s="12" t="s">
        <v>848</v>
      </c>
      <c r="H38" s="13"/>
      <c r="I38" s="12" t="s">
        <v>848</v>
      </c>
      <c r="J38" s="13"/>
      <c r="K38" s="12" t="s">
        <v>848</v>
      </c>
      <c r="L38" s="13"/>
      <c r="M38" s="12" t="s">
        <v>112</v>
      </c>
      <c r="N38" s="12" t="s">
        <v>415</v>
      </c>
      <c r="O38" s="12" t="str">
        <f>IF(TabelaRespostas[[#This Row],[Momento do Envio]]&gt;=1,"SIM","NÃO")</f>
        <v>SIM</v>
      </c>
      <c r="P38" s="12" t="s">
        <v>866</v>
      </c>
      <c r="Q38" s="14" t="s">
        <v>867</v>
      </c>
    </row>
    <row r="39" spans="1:17" ht="15" customHeight="1" x14ac:dyDescent="0.3">
      <c r="A39" s="12" t="s">
        <v>865</v>
      </c>
      <c r="B39" s="12" t="s">
        <v>67</v>
      </c>
      <c r="C39" s="12" t="s">
        <v>156</v>
      </c>
      <c r="D39" s="12"/>
      <c r="E39" s="12" t="s">
        <v>848</v>
      </c>
      <c r="F39" s="13"/>
      <c r="G39" s="12" t="s">
        <v>848</v>
      </c>
      <c r="H39" s="13"/>
      <c r="I39" s="12" t="s">
        <v>848</v>
      </c>
      <c r="J39" s="13"/>
      <c r="K39" s="12" t="s">
        <v>848</v>
      </c>
      <c r="L39" s="13"/>
      <c r="M39" s="12" t="s">
        <v>148</v>
      </c>
      <c r="N39" s="12" t="s">
        <v>152</v>
      </c>
      <c r="O39" s="12" t="str">
        <f>IF(TabelaRespostas[[#This Row],[Momento do Envio]]&gt;=1,"SIM","NÃO")</f>
        <v>SIM</v>
      </c>
      <c r="P39" s="12" t="s">
        <v>866</v>
      </c>
      <c r="Q39" s="14" t="s">
        <v>867</v>
      </c>
    </row>
    <row r="40" spans="1:17" ht="15" customHeight="1" x14ac:dyDescent="0.3">
      <c r="A40" s="12" t="s">
        <v>865</v>
      </c>
      <c r="B40" s="12" t="s">
        <v>67</v>
      </c>
      <c r="C40" s="12" t="s">
        <v>161</v>
      </c>
      <c r="D40" s="12"/>
      <c r="E40" s="12" t="s">
        <v>848</v>
      </c>
      <c r="F40" s="13"/>
      <c r="G40" s="12" t="s">
        <v>848</v>
      </c>
      <c r="H40" s="13"/>
      <c r="I40" s="12" t="s">
        <v>848</v>
      </c>
      <c r="J40" s="13"/>
      <c r="K40" s="12" t="s">
        <v>848</v>
      </c>
      <c r="L40" s="13"/>
      <c r="M40" s="12" t="s">
        <v>156</v>
      </c>
      <c r="N40" s="12" t="s">
        <v>148</v>
      </c>
      <c r="O40" s="12" t="str">
        <f>IF(TabelaRespostas[[#This Row],[Momento do Envio]]&gt;=1,"SIM","NÃO")</f>
        <v>SIM</v>
      </c>
      <c r="P40" s="12" t="s">
        <v>866</v>
      </c>
      <c r="Q40" s="14" t="s">
        <v>867</v>
      </c>
    </row>
    <row r="41" spans="1:17" ht="15" customHeight="1" x14ac:dyDescent="0.3">
      <c r="A41" s="12" t="s">
        <v>868</v>
      </c>
      <c r="B41" s="12" t="s">
        <v>395</v>
      </c>
      <c r="C41" s="12" t="s">
        <v>397</v>
      </c>
      <c r="D41" s="12"/>
      <c r="E41" s="12" t="s">
        <v>848</v>
      </c>
      <c r="F41" s="13"/>
      <c r="G41" s="12" t="s">
        <v>848</v>
      </c>
      <c r="H41" s="13"/>
      <c r="I41" s="12" t="s">
        <v>848</v>
      </c>
      <c r="J41" s="13"/>
      <c r="K41" s="12" t="s">
        <v>848</v>
      </c>
      <c r="L41" s="13"/>
      <c r="M41" s="12" t="s">
        <v>255</v>
      </c>
      <c r="N41" s="12" t="s">
        <v>425</v>
      </c>
      <c r="O41" s="12" t="str">
        <f>IF(TabelaRespostas[[#This Row],[Momento do Envio]]&gt;=1,"SIM","NÃO")</f>
        <v>SIM</v>
      </c>
      <c r="P41" s="12" t="s">
        <v>869</v>
      </c>
      <c r="Q41" s="14"/>
    </row>
    <row r="42" spans="1:17" ht="15" customHeight="1" x14ac:dyDescent="0.3">
      <c r="A42" s="12" t="s">
        <v>870</v>
      </c>
      <c r="B42" s="12" t="s">
        <v>505</v>
      </c>
      <c r="C42" s="12" t="s">
        <v>507</v>
      </c>
      <c r="D42" s="12"/>
      <c r="E42" s="12" t="s">
        <v>848</v>
      </c>
      <c r="F42" s="13"/>
      <c r="G42" s="12" t="s">
        <v>848</v>
      </c>
      <c r="H42" s="13"/>
      <c r="I42" s="12" t="s">
        <v>848</v>
      </c>
      <c r="J42" s="13"/>
      <c r="K42" s="12" t="s">
        <v>848</v>
      </c>
      <c r="L42" s="13"/>
      <c r="M42" s="12" t="s">
        <v>510</v>
      </c>
      <c r="N42" s="12" t="s">
        <v>512</v>
      </c>
      <c r="O42" s="12" t="str">
        <f>IF(TabelaRespostas[[#This Row],[Momento do Envio]]&gt;=1,"SIM","NÃO")</f>
        <v>SIM</v>
      </c>
      <c r="P42" s="12" t="s">
        <v>871</v>
      </c>
      <c r="Q42" s="14"/>
    </row>
    <row r="43" spans="1:17" ht="15" customHeight="1" x14ac:dyDescent="0.3">
      <c r="A43" s="12" t="s">
        <v>870</v>
      </c>
      <c r="B43" s="12" t="s">
        <v>505</v>
      </c>
      <c r="C43" s="12" t="s">
        <v>510</v>
      </c>
      <c r="D43" s="12"/>
      <c r="E43" s="12" t="s">
        <v>848</v>
      </c>
      <c r="F43" s="13"/>
      <c r="G43" s="12" t="s">
        <v>848</v>
      </c>
      <c r="H43" s="13"/>
      <c r="I43" s="12" t="s">
        <v>848</v>
      </c>
      <c r="J43" s="13"/>
      <c r="K43" s="12" t="s">
        <v>848</v>
      </c>
      <c r="L43" s="13"/>
      <c r="M43" s="12" t="s">
        <v>507</v>
      </c>
      <c r="N43" s="12" t="s">
        <v>514</v>
      </c>
      <c r="O43" s="12" t="str">
        <f>IF(TabelaRespostas[[#This Row],[Momento do Envio]]&gt;=1,"SIM","NÃO")</f>
        <v>SIM</v>
      </c>
      <c r="P43" s="12" t="s">
        <v>871</v>
      </c>
      <c r="Q43" s="14"/>
    </row>
    <row r="44" spans="1:17" ht="15" customHeight="1" x14ac:dyDescent="0.3">
      <c r="A44" s="12" t="s">
        <v>870</v>
      </c>
      <c r="B44" s="12" t="s">
        <v>505</v>
      </c>
      <c r="C44" s="12" t="s">
        <v>512</v>
      </c>
      <c r="D44" s="12"/>
      <c r="E44" s="12" t="s">
        <v>848</v>
      </c>
      <c r="F44" s="13"/>
      <c r="G44" s="12" t="s">
        <v>848</v>
      </c>
      <c r="H44" s="13"/>
      <c r="I44" s="12" t="s">
        <v>848</v>
      </c>
      <c r="J44" s="13"/>
      <c r="K44" s="12" t="s">
        <v>848</v>
      </c>
      <c r="L44" s="13"/>
      <c r="M44" s="12" t="s">
        <v>510</v>
      </c>
      <c r="N44" s="12" t="s">
        <v>514</v>
      </c>
      <c r="O44" s="12" t="str">
        <f>IF(TabelaRespostas[[#This Row],[Momento do Envio]]&gt;=1,"SIM","NÃO")</f>
        <v>SIM</v>
      </c>
      <c r="P44" s="12" t="s">
        <v>871</v>
      </c>
      <c r="Q44" s="14"/>
    </row>
    <row r="45" spans="1:17" ht="15" customHeight="1" x14ac:dyDescent="0.3">
      <c r="A45" s="12" t="s">
        <v>870</v>
      </c>
      <c r="B45" s="12" t="s">
        <v>505</v>
      </c>
      <c r="C45" s="12" t="s">
        <v>514</v>
      </c>
      <c r="D45" s="12"/>
      <c r="E45" s="12" t="s">
        <v>848</v>
      </c>
      <c r="F45" s="13"/>
      <c r="G45" s="12" t="s">
        <v>848</v>
      </c>
      <c r="H45" s="13"/>
      <c r="I45" s="12" t="s">
        <v>848</v>
      </c>
      <c r="J45" s="13"/>
      <c r="K45" s="12" t="s">
        <v>848</v>
      </c>
      <c r="L45" s="13"/>
      <c r="M45" s="12" t="s">
        <v>507</v>
      </c>
      <c r="N45" s="12" t="s">
        <v>512</v>
      </c>
      <c r="O45" s="12" t="str">
        <f>IF(TabelaRespostas[[#This Row],[Momento do Envio]]&gt;=1,"SIM","NÃO")</f>
        <v>SIM</v>
      </c>
      <c r="P45" s="12" t="s">
        <v>871</v>
      </c>
      <c r="Q45" s="14"/>
    </row>
    <row r="46" spans="1:17" ht="15" customHeight="1" x14ac:dyDescent="0.3">
      <c r="A46" s="15">
        <v>46026.434027777781</v>
      </c>
      <c r="B46" s="12" t="s">
        <v>515</v>
      </c>
      <c r="C46" s="12" t="s">
        <v>872</v>
      </c>
      <c r="D46" s="12"/>
      <c r="E46" s="12" t="s">
        <v>848</v>
      </c>
      <c r="F46" s="13"/>
      <c r="G46" s="12" t="s">
        <v>848</v>
      </c>
      <c r="H46" s="13"/>
      <c r="I46" s="12" t="s">
        <v>848</v>
      </c>
      <c r="J46" s="13"/>
      <c r="K46" s="12" t="s">
        <v>848</v>
      </c>
      <c r="L46" s="13"/>
      <c r="M46" s="12" t="s">
        <v>180</v>
      </c>
      <c r="N46" s="12" t="s">
        <v>413</v>
      </c>
      <c r="O46" s="12" t="str">
        <f>IF(TabelaRespostas[[#This Row],[Momento do Envio]]&gt;=1,"SIM","NÃO")</f>
        <v>SIM</v>
      </c>
      <c r="P46" s="12" t="s">
        <v>873</v>
      </c>
      <c r="Q46" s="14"/>
    </row>
    <row r="47" spans="1:17" ht="15" customHeight="1" x14ac:dyDescent="0.3">
      <c r="A47" s="15">
        <v>46026.466666666667</v>
      </c>
      <c r="B47" s="12" t="s">
        <v>366</v>
      </c>
      <c r="C47" s="12" t="s">
        <v>368</v>
      </c>
      <c r="D47" s="12"/>
      <c r="E47" s="12" t="s">
        <v>848</v>
      </c>
      <c r="F47" s="13"/>
      <c r="G47" s="12" t="s">
        <v>848</v>
      </c>
      <c r="H47" s="13"/>
      <c r="I47" s="12" t="s">
        <v>848</v>
      </c>
      <c r="J47" s="13"/>
      <c r="K47" s="12" t="s">
        <v>848</v>
      </c>
      <c r="L47" s="13"/>
      <c r="M47" s="12" t="s">
        <v>377</v>
      </c>
      <c r="N47" s="12" t="s">
        <v>380</v>
      </c>
      <c r="O47" s="12" t="str">
        <f>IF(TabelaRespostas[[#This Row],[Momento do Envio]]&gt;=1,"SIM","NÃO")</f>
        <v>SIM</v>
      </c>
      <c r="P47" s="12" t="s">
        <v>874</v>
      </c>
      <c r="Q47" s="14"/>
    </row>
    <row r="48" spans="1:17" ht="15" customHeight="1" x14ac:dyDescent="0.3">
      <c r="A48" s="15">
        <v>46026.647222222222</v>
      </c>
      <c r="B48" s="12" t="s">
        <v>270</v>
      </c>
      <c r="C48" s="12" t="s">
        <v>272</v>
      </c>
      <c r="D48" s="12"/>
      <c r="E48" s="12" t="s">
        <v>848</v>
      </c>
      <c r="F48" s="13"/>
      <c r="G48" s="12" t="s">
        <v>848</v>
      </c>
      <c r="H48" s="13"/>
      <c r="I48" s="12" t="s">
        <v>848</v>
      </c>
      <c r="J48" s="13"/>
      <c r="K48" s="12" t="s">
        <v>862</v>
      </c>
      <c r="L48" s="13"/>
      <c r="M48" s="12" t="s">
        <v>280</v>
      </c>
      <c r="N48" s="12" t="s">
        <v>276</v>
      </c>
      <c r="O48" s="12" t="str">
        <f>IF(TabelaRespostas[[#This Row],[Momento do Envio]]&gt;=1,"SIM","NÃO")</f>
        <v>SIM</v>
      </c>
      <c r="P48" s="12" t="s">
        <v>875</v>
      </c>
      <c r="Q48" s="14"/>
    </row>
    <row r="49" spans="1:17" ht="15" customHeight="1" x14ac:dyDescent="0.3">
      <c r="A49" s="15">
        <v>46026.647222222222</v>
      </c>
      <c r="B49" s="12" t="s">
        <v>270</v>
      </c>
      <c r="C49" s="12" t="s">
        <v>276</v>
      </c>
      <c r="D49" s="12"/>
      <c r="E49" s="12" t="s">
        <v>848</v>
      </c>
      <c r="F49" s="13"/>
      <c r="G49" s="12" t="s">
        <v>848</v>
      </c>
      <c r="H49" s="13"/>
      <c r="I49" s="12" t="s">
        <v>848</v>
      </c>
      <c r="J49" s="13"/>
      <c r="K49" s="12" t="s">
        <v>862</v>
      </c>
      <c r="L49" s="13"/>
      <c r="M49" s="12" t="s">
        <v>282</v>
      </c>
      <c r="N49" s="12" t="s">
        <v>272</v>
      </c>
      <c r="O49" s="12" t="str">
        <f>IF(TabelaRespostas[[#This Row],[Momento do Envio]]&gt;=1,"SIM","NÃO")</f>
        <v>SIM</v>
      </c>
      <c r="P49" s="12" t="s">
        <v>875</v>
      </c>
      <c r="Q49" s="14"/>
    </row>
    <row r="50" spans="1:17" ht="15" customHeight="1" x14ac:dyDescent="0.3">
      <c r="A50" s="15">
        <v>46026.647222222222</v>
      </c>
      <c r="B50" s="12" t="s">
        <v>270</v>
      </c>
      <c r="C50" s="12" t="s">
        <v>280</v>
      </c>
      <c r="D50" s="12"/>
      <c r="E50" s="12" t="s">
        <v>848</v>
      </c>
      <c r="F50" s="13"/>
      <c r="G50" s="12" t="s">
        <v>848</v>
      </c>
      <c r="H50" s="13"/>
      <c r="I50" s="12" t="s">
        <v>848</v>
      </c>
      <c r="J50" s="13"/>
      <c r="K50" s="12" t="s">
        <v>862</v>
      </c>
      <c r="L50" s="13"/>
      <c r="M50" s="12" t="s">
        <v>276</v>
      </c>
      <c r="N50" s="12" t="s">
        <v>282</v>
      </c>
      <c r="O50" s="12" t="str">
        <f>IF(TabelaRespostas[[#This Row],[Momento do Envio]]&gt;=1,"SIM","NÃO")</f>
        <v>SIM</v>
      </c>
      <c r="P50" s="12" t="s">
        <v>875</v>
      </c>
      <c r="Q50" s="14"/>
    </row>
    <row r="51" spans="1:17" ht="15" customHeight="1" x14ac:dyDescent="0.3">
      <c r="A51" s="15">
        <v>46026.647222222222</v>
      </c>
      <c r="B51" s="12" t="s">
        <v>270</v>
      </c>
      <c r="C51" s="12" t="s">
        <v>282</v>
      </c>
      <c r="D51" s="12"/>
      <c r="E51" s="12" t="s">
        <v>848</v>
      </c>
      <c r="F51" s="13"/>
      <c r="G51" s="12" t="s">
        <v>848</v>
      </c>
      <c r="H51" s="13"/>
      <c r="I51" s="12" t="s">
        <v>848</v>
      </c>
      <c r="J51" s="13"/>
      <c r="K51" s="12" t="s">
        <v>862</v>
      </c>
      <c r="L51" s="13"/>
      <c r="M51" s="12" t="s">
        <v>272</v>
      </c>
      <c r="N51" s="12" t="s">
        <v>280</v>
      </c>
      <c r="O51" s="12" t="str">
        <f>IF(TabelaRespostas[[#This Row],[Momento do Envio]]&gt;=1,"SIM","NÃO")</f>
        <v>SIM</v>
      </c>
      <c r="P51" s="12" t="s">
        <v>875</v>
      </c>
      <c r="Q51" s="14"/>
    </row>
    <row r="52" spans="1:17" ht="15" customHeight="1" x14ac:dyDescent="0.3">
      <c r="A52" s="15">
        <v>46026.660416666666</v>
      </c>
      <c r="B52" s="12" t="s">
        <v>417</v>
      </c>
      <c r="C52" s="12" t="s">
        <v>430</v>
      </c>
      <c r="D52" s="12"/>
      <c r="E52" s="12" t="s">
        <v>848</v>
      </c>
      <c r="F52" s="13"/>
      <c r="G52" s="12" t="s">
        <v>848</v>
      </c>
      <c r="H52" s="13"/>
      <c r="I52" s="12" t="s">
        <v>848</v>
      </c>
      <c r="J52" s="13"/>
      <c r="K52" s="12" t="s">
        <v>848</v>
      </c>
      <c r="L52" s="13"/>
      <c r="M52" s="12" t="s">
        <v>437</v>
      </c>
      <c r="N52" s="12" t="s">
        <v>433</v>
      </c>
      <c r="O52" s="12" t="str">
        <f>IF(TabelaRespostas[[#This Row],[Momento do Envio]]&gt;=1,"SIM","NÃO")</f>
        <v>SIM</v>
      </c>
      <c r="P52" s="12" t="s">
        <v>876</v>
      </c>
      <c r="Q52" s="14"/>
    </row>
    <row r="53" spans="1:17" ht="15" customHeight="1" x14ac:dyDescent="0.3">
      <c r="A53" s="15">
        <v>46026.660416666666</v>
      </c>
      <c r="B53" s="12" t="s">
        <v>417</v>
      </c>
      <c r="C53" s="12" t="s">
        <v>430</v>
      </c>
      <c r="D53" s="12"/>
      <c r="E53" s="12" t="s">
        <v>848</v>
      </c>
      <c r="F53" s="13"/>
      <c r="G53" s="12" t="s">
        <v>848</v>
      </c>
      <c r="H53" s="13"/>
      <c r="I53" s="12" t="s">
        <v>848</v>
      </c>
      <c r="J53" s="13"/>
      <c r="K53" s="12" t="s">
        <v>848</v>
      </c>
      <c r="L53" s="13"/>
      <c r="M53" s="12" t="s">
        <v>437</v>
      </c>
      <c r="N53" s="12" t="s">
        <v>433</v>
      </c>
      <c r="O53" s="12" t="str">
        <f>IF(TabelaRespostas[[#This Row],[Momento do Envio]]&gt;=1,"SIM","NÃO")</f>
        <v>SIM</v>
      </c>
      <c r="P53" s="12" t="s">
        <v>876</v>
      </c>
      <c r="Q53" s="14"/>
    </row>
    <row r="54" spans="1:17" ht="15" customHeight="1" x14ac:dyDescent="0.3">
      <c r="A54" s="15">
        <v>46026.660416666666</v>
      </c>
      <c r="B54" s="12" t="s">
        <v>417</v>
      </c>
      <c r="C54" s="12" t="s">
        <v>433</v>
      </c>
      <c r="D54" s="12"/>
      <c r="E54" s="12" t="s">
        <v>848</v>
      </c>
      <c r="F54" s="13"/>
      <c r="G54" s="12" t="s">
        <v>848</v>
      </c>
      <c r="H54" s="13"/>
      <c r="I54" s="12" t="s">
        <v>848</v>
      </c>
      <c r="J54" s="13"/>
      <c r="K54" s="12" t="s">
        <v>848</v>
      </c>
      <c r="L54" s="13"/>
      <c r="M54" s="12" t="s">
        <v>437</v>
      </c>
      <c r="N54" s="12" t="s">
        <v>435</v>
      </c>
      <c r="O54" s="12" t="str">
        <f>IF(TabelaRespostas[[#This Row],[Momento do Envio]]&gt;=1,"SIM","NÃO")</f>
        <v>SIM</v>
      </c>
      <c r="P54" s="12" t="s">
        <v>876</v>
      </c>
      <c r="Q54" s="14"/>
    </row>
    <row r="55" spans="1:17" ht="15" customHeight="1" x14ac:dyDescent="0.3">
      <c r="A55" s="15">
        <v>46026.660416666666</v>
      </c>
      <c r="B55" s="12" t="s">
        <v>417</v>
      </c>
      <c r="C55" s="12" t="s">
        <v>433</v>
      </c>
      <c r="D55" s="12"/>
      <c r="E55" s="12" t="s">
        <v>848</v>
      </c>
      <c r="F55" s="13"/>
      <c r="G55" s="12" t="s">
        <v>848</v>
      </c>
      <c r="H55" s="13"/>
      <c r="I55" s="12" t="s">
        <v>848</v>
      </c>
      <c r="J55" s="13"/>
      <c r="K55" s="12" t="s">
        <v>848</v>
      </c>
      <c r="L55" s="13"/>
      <c r="M55" s="12" t="s">
        <v>437</v>
      </c>
      <c r="N55" s="12" t="s">
        <v>435</v>
      </c>
      <c r="O55" s="12" t="str">
        <f>IF(TabelaRespostas[[#This Row],[Momento do Envio]]&gt;=1,"SIM","NÃO")</f>
        <v>SIM</v>
      </c>
      <c r="P55" s="12" t="s">
        <v>876</v>
      </c>
      <c r="Q55" s="14"/>
    </row>
    <row r="56" spans="1:17" ht="15" customHeight="1" x14ac:dyDescent="0.3">
      <c r="A56" s="15">
        <v>46026.660416666666</v>
      </c>
      <c r="B56" s="12" t="s">
        <v>417</v>
      </c>
      <c r="C56" s="12" t="s">
        <v>435</v>
      </c>
      <c r="D56" s="12"/>
      <c r="E56" s="12" t="s">
        <v>848</v>
      </c>
      <c r="F56" s="13"/>
      <c r="G56" s="12" t="s">
        <v>848</v>
      </c>
      <c r="H56" s="13"/>
      <c r="I56" s="12" t="s">
        <v>848</v>
      </c>
      <c r="J56" s="13"/>
      <c r="K56" s="12" t="s">
        <v>848</v>
      </c>
      <c r="L56" s="13"/>
      <c r="M56" s="12" t="s">
        <v>430</v>
      </c>
      <c r="N56" s="12" t="s">
        <v>433</v>
      </c>
      <c r="O56" s="12" t="str">
        <f>IF(TabelaRespostas[[#This Row],[Momento do Envio]]&gt;=1,"SIM","NÃO")</f>
        <v>SIM</v>
      </c>
      <c r="P56" s="12" t="s">
        <v>876</v>
      </c>
      <c r="Q56" s="14"/>
    </row>
    <row r="57" spans="1:17" ht="15" customHeight="1" x14ac:dyDescent="0.3">
      <c r="A57" s="15">
        <v>46026.660416666666</v>
      </c>
      <c r="B57" s="12" t="s">
        <v>417</v>
      </c>
      <c r="C57" s="12" t="s">
        <v>435</v>
      </c>
      <c r="D57" s="12"/>
      <c r="E57" s="12" t="s">
        <v>848</v>
      </c>
      <c r="F57" s="13"/>
      <c r="G57" s="12" t="s">
        <v>848</v>
      </c>
      <c r="H57" s="13"/>
      <c r="I57" s="12" t="s">
        <v>848</v>
      </c>
      <c r="J57" s="13"/>
      <c r="K57" s="12" t="s">
        <v>848</v>
      </c>
      <c r="L57" s="13"/>
      <c r="M57" s="12" t="s">
        <v>430</v>
      </c>
      <c r="N57" s="12" t="s">
        <v>433</v>
      </c>
      <c r="O57" s="12" t="str">
        <f>IF(TabelaRespostas[[#This Row],[Momento do Envio]]&gt;=1,"SIM","NÃO")</f>
        <v>SIM</v>
      </c>
      <c r="P57" s="12" t="s">
        <v>876</v>
      </c>
      <c r="Q57" s="14"/>
    </row>
    <row r="58" spans="1:17" ht="15" customHeight="1" x14ac:dyDescent="0.3">
      <c r="A58" s="15">
        <v>46026.660416666666</v>
      </c>
      <c r="B58" s="12" t="s">
        <v>417</v>
      </c>
      <c r="C58" s="12" t="s">
        <v>437</v>
      </c>
      <c r="D58" s="12"/>
      <c r="E58" s="12" t="s">
        <v>848</v>
      </c>
      <c r="F58" s="13"/>
      <c r="G58" s="12" t="s">
        <v>848</v>
      </c>
      <c r="H58" s="13"/>
      <c r="I58" s="12" t="s">
        <v>848</v>
      </c>
      <c r="J58" s="13"/>
      <c r="K58" s="12" t="s">
        <v>848</v>
      </c>
      <c r="L58" s="13"/>
      <c r="M58" s="12" t="s">
        <v>435</v>
      </c>
      <c r="N58" s="12" t="s">
        <v>433</v>
      </c>
      <c r="O58" s="12" t="str">
        <f>IF(TabelaRespostas[[#This Row],[Momento do Envio]]&gt;=1,"SIM","NÃO")</f>
        <v>SIM</v>
      </c>
      <c r="P58" s="12" t="s">
        <v>876</v>
      </c>
      <c r="Q58" s="14"/>
    </row>
    <row r="59" spans="1:17" ht="15" customHeight="1" x14ac:dyDescent="0.3">
      <c r="A59" s="15">
        <v>46026.660416666666</v>
      </c>
      <c r="B59" s="12" t="s">
        <v>417</v>
      </c>
      <c r="C59" s="12" t="s">
        <v>437</v>
      </c>
      <c r="D59" s="12"/>
      <c r="E59" s="12" t="s">
        <v>848</v>
      </c>
      <c r="F59" s="13"/>
      <c r="G59" s="12" t="s">
        <v>848</v>
      </c>
      <c r="H59" s="13"/>
      <c r="I59" s="12" t="s">
        <v>848</v>
      </c>
      <c r="J59" s="13"/>
      <c r="K59" s="12" t="s">
        <v>848</v>
      </c>
      <c r="L59" s="13"/>
      <c r="M59" s="12" t="s">
        <v>435</v>
      </c>
      <c r="N59" s="12" t="s">
        <v>433</v>
      </c>
      <c r="O59" s="12" t="str">
        <f>IF(TabelaRespostas[[#This Row],[Momento do Envio]]&gt;=1,"SIM","NÃO")</f>
        <v>SIM</v>
      </c>
      <c r="P59" s="12" t="s">
        <v>876</v>
      </c>
      <c r="Q59" s="14"/>
    </row>
    <row r="60" spans="1:17" ht="15" customHeight="1" x14ac:dyDescent="0.3">
      <c r="A60" s="15">
        <v>46026.660416666666</v>
      </c>
      <c r="B60" s="12" t="s">
        <v>417</v>
      </c>
      <c r="C60" s="12" t="s">
        <v>270</v>
      </c>
      <c r="D60" s="12"/>
      <c r="E60" s="12" t="s">
        <v>848</v>
      </c>
      <c r="F60" s="13"/>
      <c r="G60" s="12" t="s">
        <v>848</v>
      </c>
      <c r="H60" s="13"/>
      <c r="I60" s="12" t="s">
        <v>848</v>
      </c>
      <c r="J60" s="13"/>
      <c r="K60" s="12" t="s">
        <v>848</v>
      </c>
      <c r="L60" s="13"/>
      <c r="M60" s="12" t="s">
        <v>38</v>
      </c>
      <c r="N60" s="12" t="s">
        <v>33</v>
      </c>
      <c r="O60" s="12" t="str">
        <f>IF(TabelaRespostas[[#This Row],[Momento do Envio]]&gt;=1,"SIM","NÃO")</f>
        <v>SIM</v>
      </c>
      <c r="P60" s="12" t="s">
        <v>876</v>
      </c>
      <c r="Q60" s="14"/>
    </row>
    <row r="61" spans="1:17" ht="15" customHeight="1" x14ac:dyDescent="0.3">
      <c r="A61" s="15">
        <v>46026.660416666666</v>
      </c>
      <c r="B61" s="12" t="s">
        <v>417</v>
      </c>
      <c r="C61" s="12" t="s">
        <v>270</v>
      </c>
      <c r="D61" s="12"/>
      <c r="E61" s="12" t="s">
        <v>848</v>
      </c>
      <c r="F61" s="13"/>
      <c r="G61" s="12" t="s">
        <v>848</v>
      </c>
      <c r="H61" s="13"/>
      <c r="I61" s="12" t="s">
        <v>848</v>
      </c>
      <c r="J61" s="13"/>
      <c r="K61" s="12" t="s">
        <v>848</v>
      </c>
      <c r="L61" s="13"/>
      <c r="M61" s="12" t="s">
        <v>38</v>
      </c>
      <c r="N61" s="12" t="s">
        <v>33</v>
      </c>
      <c r="O61" s="12" t="str">
        <f>IF(TabelaRespostas[[#This Row],[Momento do Envio]]&gt;=1,"SIM","NÃO")</f>
        <v>SIM</v>
      </c>
      <c r="P61" s="12" t="s">
        <v>876</v>
      </c>
      <c r="Q61" s="14"/>
    </row>
    <row r="62" spans="1:17" ht="15" customHeight="1" x14ac:dyDescent="0.3">
      <c r="A62" s="15">
        <v>46026.660416666666</v>
      </c>
      <c r="B62" s="12" t="s">
        <v>417</v>
      </c>
      <c r="C62" s="12" t="s">
        <v>443</v>
      </c>
      <c r="D62" s="12"/>
      <c r="E62" s="12" t="s">
        <v>848</v>
      </c>
      <c r="F62" s="13"/>
      <c r="G62" s="12" t="s">
        <v>848</v>
      </c>
      <c r="H62" s="13"/>
      <c r="I62" s="12" t="s">
        <v>848</v>
      </c>
      <c r="J62" s="13"/>
      <c r="K62" s="12" t="s">
        <v>848</v>
      </c>
      <c r="L62" s="13"/>
      <c r="M62" s="12" t="s">
        <v>450</v>
      </c>
      <c r="N62" s="12" t="s">
        <v>447</v>
      </c>
      <c r="O62" s="12" t="str">
        <f>IF(TabelaRespostas[[#This Row],[Momento do Envio]]&gt;=1,"SIM","NÃO")</f>
        <v>SIM</v>
      </c>
      <c r="P62" s="12" t="s">
        <v>876</v>
      </c>
      <c r="Q62" s="14"/>
    </row>
    <row r="63" spans="1:17" ht="15" customHeight="1" x14ac:dyDescent="0.3">
      <c r="A63" s="15">
        <v>46026.660416666666</v>
      </c>
      <c r="B63" s="12" t="s">
        <v>417</v>
      </c>
      <c r="C63" s="12" t="s">
        <v>443</v>
      </c>
      <c r="D63" s="12"/>
      <c r="E63" s="12" t="s">
        <v>848</v>
      </c>
      <c r="F63" s="13"/>
      <c r="G63" s="12" t="s">
        <v>848</v>
      </c>
      <c r="H63" s="13"/>
      <c r="I63" s="12" t="s">
        <v>848</v>
      </c>
      <c r="J63" s="13"/>
      <c r="K63" s="12" t="s">
        <v>848</v>
      </c>
      <c r="L63" s="13"/>
      <c r="M63" s="12" t="s">
        <v>450</v>
      </c>
      <c r="N63" s="12" t="s">
        <v>447</v>
      </c>
      <c r="O63" s="12" t="str">
        <f>IF(TabelaRespostas[[#This Row],[Momento do Envio]]&gt;=1,"SIM","NÃO")</f>
        <v>SIM</v>
      </c>
      <c r="P63" s="12" t="s">
        <v>876</v>
      </c>
      <c r="Q63" s="14"/>
    </row>
    <row r="64" spans="1:17" ht="15" customHeight="1" x14ac:dyDescent="0.3">
      <c r="A64" s="15">
        <v>46026.660416666666</v>
      </c>
      <c r="B64" s="12" t="s">
        <v>417</v>
      </c>
      <c r="C64" s="12" t="s">
        <v>447</v>
      </c>
      <c r="D64" s="12"/>
      <c r="E64" s="12" t="s">
        <v>848</v>
      </c>
      <c r="F64" s="13"/>
      <c r="G64" s="12" t="s">
        <v>848</v>
      </c>
      <c r="H64" s="13"/>
      <c r="I64" s="12" t="s">
        <v>848</v>
      </c>
      <c r="J64" s="13"/>
      <c r="K64" s="12" t="s">
        <v>848</v>
      </c>
      <c r="L64" s="13"/>
      <c r="M64" s="12" t="s">
        <v>450</v>
      </c>
      <c r="N64" s="12" t="s">
        <v>443</v>
      </c>
      <c r="O64" s="12" t="str">
        <f>IF(TabelaRespostas[[#This Row],[Momento do Envio]]&gt;=1,"SIM","NÃO")</f>
        <v>SIM</v>
      </c>
      <c r="P64" s="12" t="s">
        <v>876</v>
      </c>
      <c r="Q64" s="14"/>
    </row>
    <row r="65" spans="1:17" ht="15" customHeight="1" x14ac:dyDescent="0.3">
      <c r="A65" s="15">
        <v>46026.660416666666</v>
      </c>
      <c r="B65" s="12" t="s">
        <v>417</v>
      </c>
      <c r="C65" s="12" t="s">
        <v>447</v>
      </c>
      <c r="D65" s="12"/>
      <c r="E65" s="12" t="s">
        <v>848</v>
      </c>
      <c r="F65" s="13"/>
      <c r="G65" s="12" t="s">
        <v>848</v>
      </c>
      <c r="H65" s="13"/>
      <c r="I65" s="12" t="s">
        <v>848</v>
      </c>
      <c r="J65" s="13"/>
      <c r="K65" s="12" t="s">
        <v>848</v>
      </c>
      <c r="L65" s="13"/>
      <c r="M65" s="12" t="s">
        <v>450</v>
      </c>
      <c r="N65" s="12" t="s">
        <v>443</v>
      </c>
      <c r="O65" s="12" t="str">
        <f>IF(TabelaRespostas[[#This Row],[Momento do Envio]]&gt;=1,"SIM","NÃO")</f>
        <v>SIM</v>
      </c>
      <c r="P65" s="12" t="s">
        <v>876</v>
      </c>
      <c r="Q65" s="14"/>
    </row>
    <row r="66" spans="1:17" ht="15" customHeight="1" x14ac:dyDescent="0.3">
      <c r="A66" s="15">
        <v>46026.660416666666</v>
      </c>
      <c r="B66" s="12" t="s">
        <v>417</v>
      </c>
      <c r="C66" s="12" t="s">
        <v>450</v>
      </c>
      <c r="D66" s="12"/>
      <c r="E66" s="12" t="s">
        <v>848</v>
      </c>
      <c r="F66" s="13"/>
      <c r="G66" s="12" t="s">
        <v>848</v>
      </c>
      <c r="H66" s="13"/>
      <c r="I66" s="12" t="s">
        <v>848</v>
      </c>
      <c r="J66" s="13"/>
      <c r="K66" s="12" t="s">
        <v>848</v>
      </c>
      <c r="L66" s="13"/>
      <c r="M66" s="12" t="s">
        <v>447</v>
      </c>
      <c r="N66" s="12" t="s">
        <v>443</v>
      </c>
      <c r="O66" s="12" t="str">
        <f>IF(TabelaRespostas[[#This Row],[Momento do Envio]]&gt;=1,"SIM","NÃO")</f>
        <v>SIM</v>
      </c>
      <c r="P66" s="12" t="s">
        <v>876</v>
      </c>
      <c r="Q66" s="14"/>
    </row>
    <row r="67" spans="1:17" ht="15" customHeight="1" x14ac:dyDescent="0.3">
      <c r="A67" s="15">
        <v>46026.660416666666</v>
      </c>
      <c r="B67" s="12" t="s">
        <v>417</v>
      </c>
      <c r="C67" s="12" t="s">
        <v>450</v>
      </c>
      <c r="D67" s="12"/>
      <c r="E67" s="12" t="s">
        <v>848</v>
      </c>
      <c r="F67" s="13"/>
      <c r="G67" s="12" t="s">
        <v>848</v>
      </c>
      <c r="H67" s="13"/>
      <c r="I67" s="12" t="s">
        <v>848</v>
      </c>
      <c r="J67" s="13"/>
      <c r="K67" s="12" t="s">
        <v>848</v>
      </c>
      <c r="L67" s="13"/>
      <c r="M67" s="12" t="s">
        <v>447</v>
      </c>
      <c r="N67" s="12" t="s">
        <v>443</v>
      </c>
      <c r="O67" s="12" t="str">
        <f>IF(TabelaRespostas[[#This Row],[Momento do Envio]]&gt;=1,"SIM","NÃO")</f>
        <v>SIM</v>
      </c>
      <c r="P67" s="12" t="s">
        <v>876</v>
      </c>
      <c r="Q67" s="14"/>
    </row>
    <row r="68" spans="1:17" ht="15" customHeight="1" x14ac:dyDescent="0.3">
      <c r="A68" s="15">
        <v>46026.660416666666</v>
      </c>
      <c r="B68" s="12" t="s">
        <v>417</v>
      </c>
      <c r="C68" s="12" t="s">
        <v>453</v>
      </c>
      <c r="D68" s="12"/>
      <c r="E68" s="12" t="s">
        <v>848</v>
      </c>
      <c r="F68" s="13"/>
      <c r="G68" s="12" t="s">
        <v>848</v>
      </c>
      <c r="H68" s="13"/>
      <c r="I68" s="12" t="s">
        <v>848</v>
      </c>
      <c r="J68" s="13"/>
      <c r="K68" s="12" t="s">
        <v>848</v>
      </c>
      <c r="L68" s="13"/>
      <c r="M68" s="12" t="s">
        <v>341</v>
      </c>
      <c r="N68" s="12" t="s">
        <v>270</v>
      </c>
      <c r="O68" s="12" t="str">
        <f>IF(TabelaRespostas[[#This Row],[Momento do Envio]]&gt;=1,"SIM","NÃO")</f>
        <v>SIM</v>
      </c>
      <c r="P68" s="12" t="s">
        <v>876</v>
      </c>
      <c r="Q68" s="14"/>
    </row>
    <row r="69" spans="1:17" ht="15" customHeight="1" x14ac:dyDescent="0.3">
      <c r="A69" s="15">
        <v>46026.660416666666</v>
      </c>
      <c r="B69" s="12" t="s">
        <v>417</v>
      </c>
      <c r="C69" s="12" t="s">
        <v>453</v>
      </c>
      <c r="D69" s="12"/>
      <c r="E69" s="12" t="s">
        <v>848</v>
      </c>
      <c r="F69" s="13"/>
      <c r="G69" s="12" t="s">
        <v>848</v>
      </c>
      <c r="H69" s="13"/>
      <c r="I69" s="12" t="s">
        <v>848</v>
      </c>
      <c r="J69" s="13"/>
      <c r="K69" s="12" t="s">
        <v>848</v>
      </c>
      <c r="L69" s="13"/>
      <c r="M69" s="12" t="s">
        <v>341</v>
      </c>
      <c r="N69" s="12" t="s">
        <v>270</v>
      </c>
      <c r="O69" s="12" t="str">
        <f>IF(TabelaRespostas[[#This Row],[Momento do Envio]]&gt;=1,"SIM","NÃO")</f>
        <v>SIM</v>
      </c>
      <c r="P69" s="12" t="s">
        <v>876</v>
      </c>
      <c r="Q69" s="14"/>
    </row>
    <row r="70" spans="1:17" ht="15" customHeight="1" x14ac:dyDescent="0.3">
      <c r="A70" s="15">
        <v>46026.664583333331</v>
      </c>
      <c r="B70" s="12" t="s">
        <v>165</v>
      </c>
      <c r="C70" s="12" t="s">
        <v>168</v>
      </c>
      <c r="D70" s="12"/>
      <c r="E70" s="12" t="s">
        <v>848</v>
      </c>
      <c r="F70" s="13"/>
      <c r="G70" s="12" t="s">
        <v>848</v>
      </c>
      <c r="H70" s="13"/>
      <c r="I70" s="12" t="s">
        <v>848</v>
      </c>
      <c r="J70" s="13"/>
      <c r="K70" s="12" t="s">
        <v>848</v>
      </c>
      <c r="L70" s="13"/>
      <c r="M70" s="12" t="s">
        <v>180</v>
      </c>
      <c r="N70" s="12" t="s">
        <v>172</v>
      </c>
      <c r="O70" s="12" t="str">
        <f>IF(TabelaRespostas[[#This Row],[Momento do Envio]]&gt;=1,"SIM","NÃO")</f>
        <v>SIM</v>
      </c>
      <c r="P70" s="12" t="s">
        <v>877</v>
      </c>
      <c r="Q70" s="14"/>
    </row>
    <row r="71" spans="1:17" ht="15" customHeight="1" x14ac:dyDescent="0.3">
      <c r="A71" s="15">
        <v>46026.664583333331</v>
      </c>
      <c r="B71" s="12" t="s">
        <v>165</v>
      </c>
      <c r="C71" s="12" t="s">
        <v>172</v>
      </c>
      <c r="D71" s="12"/>
      <c r="E71" s="12" t="s">
        <v>848</v>
      </c>
      <c r="F71" s="13"/>
      <c r="G71" s="12" t="s">
        <v>848</v>
      </c>
      <c r="H71" s="13"/>
      <c r="I71" s="12" t="s">
        <v>848</v>
      </c>
      <c r="J71" s="13"/>
      <c r="K71" s="12" t="s">
        <v>848</v>
      </c>
      <c r="L71" s="13"/>
      <c r="M71" s="12" t="s">
        <v>177</v>
      </c>
      <c r="N71" s="12" t="s">
        <v>174</v>
      </c>
      <c r="O71" s="12" t="str">
        <f>IF(TabelaRespostas[[#This Row],[Momento do Envio]]&gt;=1,"SIM","NÃO")</f>
        <v>SIM</v>
      </c>
      <c r="P71" s="12" t="s">
        <v>877</v>
      </c>
      <c r="Q71" s="14"/>
    </row>
    <row r="72" spans="1:17" ht="15" customHeight="1" x14ac:dyDescent="0.3">
      <c r="A72" s="15">
        <v>46026.664583333331</v>
      </c>
      <c r="B72" s="12" t="s">
        <v>165</v>
      </c>
      <c r="C72" s="12" t="s">
        <v>174</v>
      </c>
      <c r="D72" s="12"/>
      <c r="E72" s="12" t="s">
        <v>848</v>
      </c>
      <c r="F72" s="13"/>
      <c r="G72" s="12" t="s">
        <v>848</v>
      </c>
      <c r="H72" s="13"/>
      <c r="I72" s="12" t="s">
        <v>848</v>
      </c>
      <c r="J72" s="13"/>
      <c r="K72" s="12" t="s">
        <v>848</v>
      </c>
      <c r="L72" s="13"/>
      <c r="M72" s="12" t="s">
        <v>172</v>
      </c>
      <c r="N72" s="12" t="s">
        <v>168</v>
      </c>
      <c r="O72" s="12" t="str">
        <f>IF(TabelaRespostas[[#This Row],[Momento do Envio]]&gt;=1,"SIM","NÃO")</f>
        <v>SIM</v>
      </c>
      <c r="P72" s="12" t="s">
        <v>877</v>
      </c>
      <c r="Q72" s="14"/>
    </row>
    <row r="73" spans="1:17" ht="15" customHeight="1" x14ac:dyDescent="0.3">
      <c r="A73" s="15">
        <v>46026.664583333331</v>
      </c>
      <c r="B73" s="12" t="s">
        <v>165</v>
      </c>
      <c r="C73" s="12" t="s">
        <v>177</v>
      </c>
      <c r="D73" s="12"/>
      <c r="E73" s="12" t="s">
        <v>848</v>
      </c>
      <c r="F73" s="13"/>
      <c r="G73" s="12" t="s">
        <v>848</v>
      </c>
      <c r="H73" s="13"/>
      <c r="I73" s="12" t="s">
        <v>848</v>
      </c>
      <c r="J73" s="13"/>
      <c r="K73" s="12" t="s">
        <v>848</v>
      </c>
      <c r="L73" s="13"/>
      <c r="M73" s="12" t="s">
        <v>172</v>
      </c>
      <c r="N73" s="12" t="s">
        <v>180</v>
      </c>
      <c r="O73" s="12" t="str">
        <f>IF(TabelaRespostas[[#This Row],[Momento do Envio]]&gt;=1,"SIM","NÃO")</f>
        <v>SIM</v>
      </c>
      <c r="P73" s="12" t="s">
        <v>877</v>
      </c>
      <c r="Q73" s="14"/>
    </row>
    <row r="74" spans="1:17" ht="15" customHeight="1" x14ac:dyDescent="0.3">
      <c r="A74" s="15">
        <v>46026.664583333331</v>
      </c>
      <c r="B74" s="12" t="s">
        <v>165</v>
      </c>
      <c r="C74" s="12" t="s">
        <v>180</v>
      </c>
      <c r="D74" s="12"/>
      <c r="E74" s="12" t="s">
        <v>848</v>
      </c>
      <c r="F74" s="13"/>
      <c r="G74" s="12" t="s">
        <v>848</v>
      </c>
      <c r="H74" s="13"/>
      <c r="I74" s="12" t="s">
        <v>848</v>
      </c>
      <c r="J74" s="13"/>
      <c r="K74" s="12" t="s">
        <v>848</v>
      </c>
      <c r="L74" s="13"/>
      <c r="M74" s="12" t="s">
        <v>168</v>
      </c>
      <c r="N74" s="12" t="s">
        <v>177</v>
      </c>
      <c r="O74" s="12" t="str">
        <f>IF(TabelaRespostas[[#This Row],[Momento do Envio]]&gt;=1,"SIM","NÃO")</f>
        <v>SIM</v>
      </c>
      <c r="P74" s="12" t="s">
        <v>877</v>
      </c>
      <c r="Q74" s="14"/>
    </row>
    <row r="75" spans="1:17" ht="15" customHeight="1" x14ac:dyDescent="0.3">
      <c r="A75" s="15">
        <v>46026.664583333331</v>
      </c>
      <c r="B75" s="12" t="s">
        <v>165</v>
      </c>
      <c r="C75" s="12" t="s">
        <v>168</v>
      </c>
      <c r="D75" s="12"/>
      <c r="E75" s="12" t="s">
        <v>848</v>
      </c>
      <c r="F75" s="13"/>
      <c r="G75" s="12" t="s">
        <v>848</v>
      </c>
      <c r="H75" s="13"/>
      <c r="I75" s="12" t="s">
        <v>848</v>
      </c>
      <c r="J75" s="13"/>
      <c r="K75" s="12" t="s">
        <v>848</v>
      </c>
      <c r="L75" s="13"/>
      <c r="M75" s="12" t="s">
        <v>180</v>
      </c>
      <c r="N75" s="12" t="s">
        <v>172</v>
      </c>
      <c r="O75" s="12" t="str">
        <f>IF(TabelaRespostas[[#This Row],[Momento do Envio]]&gt;=1,"SIM","NÃO")</f>
        <v>SIM</v>
      </c>
      <c r="P75" s="12" t="s">
        <v>877</v>
      </c>
      <c r="Q75" s="14"/>
    </row>
    <row r="76" spans="1:17" ht="15" customHeight="1" x14ac:dyDescent="0.3">
      <c r="A76" s="15">
        <v>46026.664583333331</v>
      </c>
      <c r="B76" s="12" t="s">
        <v>165</v>
      </c>
      <c r="C76" s="12" t="s">
        <v>172</v>
      </c>
      <c r="D76" s="12"/>
      <c r="E76" s="12" t="s">
        <v>848</v>
      </c>
      <c r="F76" s="13"/>
      <c r="G76" s="12" t="s">
        <v>848</v>
      </c>
      <c r="H76" s="13"/>
      <c r="I76" s="12" t="s">
        <v>848</v>
      </c>
      <c r="J76" s="13"/>
      <c r="K76" s="12" t="s">
        <v>848</v>
      </c>
      <c r="L76" s="13"/>
      <c r="M76" s="12" t="s">
        <v>177</v>
      </c>
      <c r="N76" s="12" t="s">
        <v>174</v>
      </c>
      <c r="O76" s="12" t="str">
        <f>IF(TabelaRespostas[[#This Row],[Momento do Envio]]&gt;=1,"SIM","NÃO")</f>
        <v>SIM</v>
      </c>
      <c r="P76" s="12" t="s">
        <v>877</v>
      </c>
      <c r="Q76" s="14"/>
    </row>
    <row r="77" spans="1:17" ht="15" customHeight="1" x14ac:dyDescent="0.3">
      <c r="A77" s="15">
        <v>46026.664583333331</v>
      </c>
      <c r="B77" s="12" t="s">
        <v>165</v>
      </c>
      <c r="C77" s="12" t="s">
        <v>174</v>
      </c>
      <c r="D77" s="12"/>
      <c r="E77" s="12" t="s">
        <v>848</v>
      </c>
      <c r="F77" s="13"/>
      <c r="G77" s="12" t="s">
        <v>848</v>
      </c>
      <c r="H77" s="13"/>
      <c r="I77" s="12" t="s">
        <v>848</v>
      </c>
      <c r="J77" s="13"/>
      <c r="K77" s="12" t="s">
        <v>848</v>
      </c>
      <c r="L77" s="13"/>
      <c r="M77" s="12" t="s">
        <v>172</v>
      </c>
      <c r="N77" s="12" t="s">
        <v>168</v>
      </c>
      <c r="O77" s="12" t="str">
        <f>IF(TabelaRespostas[[#This Row],[Momento do Envio]]&gt;=1,"SIM","NÃO")</f>
        <v>SIM</v>
      </c>
      <c r="P77" s="12" t="s">
        <v>877</v>
      </c>
      <c r="Q77" s="14"/>
    </row>
    <row r="78" spans="1:17" ht="15" customHeight="1" x14ac:dyDescent="0.3">
      <c r="A78" s="15">
        <v>46026.664583333331</v>
      </c>
      <c r="B78" s="12" t="s">
        <v>165</v>
      </c>
      <c r="C78" s="12" t="s">
        <v>177</v>
      </c>
      <c r="D78" s="12"/>
      <c r="E78" s="12" t="s">
        <v>848</v>
      </c>
      <c r="F78" s="13"/>
      <c r="G78" s="12" t="s">
        <v>848</v>
      </c>
      <c r="H78" s="13"/>
      <c r="I78" s="12" t="s">
        <v>848</v>
      </c>
      <c r="J78" s="13"/>
      <c r="K78" s="12" t="s">
        <v>848</v>
      </c>
      <c r="L78" s="13"/>
      <c r="M78" s="12" t="s">
        <v>172</v>
      </c>
      <c r="N78" s="12" t="s">
        <v>180</v>
      </c>
      <c r="O78" s="12" t="str">
        <f>IF(TabelaRespostas[[#This Row],[Momento do Envio]]&gt;=1,"SIM","NÃO")</f>
        <v>SIM</v>
      </c>
      <c r="P78" s="12" t="s">
        <v>877</v>
      </c>
      <c r="Q78" s="14"/>
    </row>
    <row r="79" spans="1:17" ht="15" customHeight="1" x14ac:dyDescent="0.3">
      <c r="A79" s="15">
        <v>46026.664583333331</v>
      </c>
      <c r="B79" s="12" t="s">
        <v>165</v>
      </c>
      <c r="C79" s="12" t="s">
        <v>180</v>
      </c>
      <c r="D79" s="12"/>
      <c r="E79" s="12" t="s">
        <v>848</v>
      </c>
      <c r="F79" s="13"/>
      <c r="G79" s="12" t="s">
        <v>848</v>
      </c>
      <c r="H79" s="13"/>
      <c r="I79" s="12" t="s">
        <v>848</v>
      </c>
      <c r="J79" s="13"/>
      <c r="K79" s="12" t="s">
        <v>848</v>
      </c>
      <c r="L79" s="13"/>
      <c r="M79" s="12" t="s">
        <v>168</v>
      </c>
      <c r="N79" s="12" t="s">
        <v>177</v>
      </c>
      <c r="O79" s="12" t="str">
        <f>IF(TabelaRespostas[[#This Row],[Momento do Envio]]&gt;=1,"SIM","NÃO")</f>
        <v>SIM</v>
      </c>
      <c r="P79" s="12" t="s">
        <v>877</v>
      </c>
      <c r="Q79" s="14"/>
    </row>
    <row r="80" spans="1:17" ht="15" customHeight="1" x14ac:dyDescent="0.3">
      <c r="A80" s="15">
        <v>46026.718055555553</v>
      </c>
      <c r="B80" s="12" t="s">
        <v>326</v>
      </c>
      <c r="C80" s="12" t="s">
        <v>225</v>
      </c>
      <c r="D80" s="12"/>
      <c r="E80" s="12" t="s">
        <v>848</v>
      </c>
      <c r="F80" s="13"/>
      <c r="G80" s="12" t="s">
        <v>848</v>
      </c>
      <c r="H80" s="13"/>
      <c r="I80" s="12" t="s">
        <v>848</v>
      </c>
      <c r="J80" s="13"/>
      <c r="K80" s="12" t="s">
        <v>848</v>
      </c>
      <c r="L80" s="13"/>
      <c r="M80" s="12" t="s">
        <v>503</v>
      </c>
      <c r="N80" s="12" t="s">
        <v>325</v>
      </c>
      <c r="O80" s="12" t="str">
        <f>IF(TabelaRespostas[[#This Row],[Momento do Envio]]&gt;=1,"SIM","NÃO")</f>
        <v>SIM</v>
      </c>
      <c r="P80" s="12" t="s">
        <v>878</v>
      </c>
      <c r="Q80" s="14" t="s">
        <v>879</v>
      </c>
    </row>
    <row r="81" spans="1:17" ht="15" customHeight="1" x14ac:dyDescent="0.3">
      <c r="A81" s="15">
        <v>46026.718055555553</v>
      </c>
      <c r="B81" s="12" t="s">
        <v>326</v>
      </c>
      <c r="C81" s="12" t="s">
        <v>325</v>
      </c>
      <c r="D81" s="12"/>
      <c r="E81" s="12" t="s">
        <v>848</v>
      </c>
      <c r="F81" s="13"/>
      <c r="G81" s="12" t="s">
        <v>848</v>
      </c>
      <c r="H81" s="13"/>
      <c r="I81" s="12" t="s">
        <v>848</v>
      </c>
      <c r="J81" s="13"/>
      <c r="K81" s="12" t="s">
        <v>848</v>
      </c>
      <c r="L81" s="13"/>
      <c r="M81" s="12" t="s">
        <v>503</v>
      </c>
      <c r="N81" s="12" t="s">
        <v>225</v>
      </c>
      <c r="O81" s="12" t="str">
        <f>IF(TabelaRespostas[[#This Row],[Momento do Envio]]&gt;=1,"SIM","NÃO")</f>
        <v>SIM</v>
      </c>
      <c r="P81" s="12" t="s">
        <v>878</v>
      </c>
      <c r="Q81" s="14" t="s">
        <v>879</v>
      </c>
    </row>
    <row r="82" spans="1:17" ht="15" customHeight="1" x14ac:dyDescent="0.3">
      <c r="A82" s="15">
        <v>46026.718055555553</v>
      </c>
      <c r="B82" s="12" t="s">
        <v>326</v>
      </c>
      <c r="C82" s="12" t="s">
        <v>503</v>
      </c>
      <c r="D82" s="12"/>
      <c r="E82" s="12" t="s">
        <v>848</v>
      </c>
      <c r="F82" s="13"/>
      <c r="G82" s="12" t="s">
        <v>848</v>
      </c>
      <c r="H82" s="13"/>
      <c r="I82" s="12" t="s">
        <v>848</v>
      </c>
      <c r="J82" s="13"/>
      <c r="K82" s="12" t="s">
        <v>848</v>
      </c>
      <c r="L82" s="13"/>
      <c r="M82" s="12" t="s">
        <v>225</v>
      </c>
      <c r="N82" s="12" t="s">
        <v>325</v>
      </c>
      <c r="O82" s="12" t="str">
        <f>IF(TabelaRespostas[[#This Row],[Momento do Envio]]&gt;=1,"SIM","NÃO")</f>
        <v>SIM</v>
      </c>
      <c r="P82" s="12" t="s">
        <v>878</v>
      </c>
      <c r="Q82" s="14" t="s">
        <v>879</v>
      </c>
    </row>
    <row r="83" spans="1:17" ht="15" customHeight="1" x14ac:dyDescent="0.3">
      <c r="A83" s="15">
        <v>46026.718055555553</v>
      </c>
      <c r="B83" s="12" t="s">
        <v>326</v>
      </c>
      <c r="C83" s="12" t="s">
        <v>563</v>
      </c>
      <c r="D83" s="12"/>
      <c r="E83" s="12" t="s">
        <v>848</v>
      </c>
      <c r="F83" s="13"/>
      <c r="G83" s="12" t="s">
        <v>848</v>
      </c>
      <c r="H83" s="13"/>
      <c r="I83" s="12" t="s">
        <v>848</v>
      </c>
      <c r="J83" s="13"/>
      <c r="K83" s="12" t="s">
        <v>848</v>
      </c>
      <c r="L83" s="13"/>
      <c r="M83" s="12" t="s">
        <v>567</v>
      </c>
      <c r="N83" s="12" t="s">
        <v>225</v>
      </c>
      <c r="O83" s="12" t="str">
        <f>IF(TabelaRespostas[[#This Row],[Momento do Envio]]&gt;=1,"SIM","NÃO")</f>
        <v>SIM</v>
      </c>
      <c r="P83" s="12" t="s">
        <v>878</v>
      </c>
      <c r="Q83" s="14" t="s">
        <v>879</v>
      </c>
    </row>
    <row r="84" spans="1:17" ht="15" customHeight="1" x14ac:dyDescent="0.3">
      <c r="A84" s="15">
        <v>46026.718055555553</v>
      </c>
      <c r="B84" s="12" t="s">
        <v>326</v>
      </c>
      <c r="C84" s="12" t="s">
        <v>567</v>
      </c>
      <c r="D84" s="12"/>
      <c r="E84" s="12" t="s">
        <v>848</v>
      </c>
      <c r="F84" s="13"/>
      <c r="G84" s="12" t="s">
        <v>848</v>
      </c>
      <c r="H84" s="13"/>
      <c r="I84" s="12" t="s">
        <v>848</v>
      </c>
      <c r="J84" s="13"/>
      <c r="K84" s="12" t="s">
        <v>848</v>
      </c>
      <c r="L84" s="13"/>
      <c r="M84" s="12" t="s">
        <v>563</v>
      </c>
      <c r="N84" s="12" t="s">
        <v>231</v>
      </c>
      <c r="O84" s="12" t="str">
        <f>IF(TabelaRespostas[[#This Row],[Momento do Envio]]&gt;=1,"SIM","NÃO")</f>
        <v>SIM</v>
      </c>
      <c r="P84" s="12" t="s">
        <v>878</v>
      </c>
      <c r="Q84" s="14" t="s">
        <v>879</v>
      </c>
    </row>
    <row r="85" spans="1:17" ht="15" customHeight="1" x14ac:dyDescent="0.3">
      <c r="A85" s="15">
        <v>46026.718055555553</v>
      </c>
      <c r="B85" s="12" t="s">
        <v>326</v>
      </c>
      <c r="C85" s="12" t="s">
        <v>515</v>
      </c>
      <c r="D85" s="12"/>
      <c r="E85" s="12" t="s">
        <v>848</v>
      </c>
      <c r="F85" s="13"/>
      <c r="G85" s="12" t="s">
        <v>848</v>
      </c>
      <c r="H85" s="13"/>
      <c r="I85" s="12" t="s">
        <v>848</v>
      </c>
      <c r="J85" s="13"/>
      <c r="K85" s="12" t="s">
        <v>848</v>
      </c>
      <c r="L85" s="13"/>
      <c r="M85" s="12" t="s">
        <v>505</v>
      </c>
      <c r="N85" s="12" t="s">
        <v>325</v>
      </c>
      <c r="O85" s="12" t="str">
        <f>IF(TabelaRespostas[[#This Row],[Momento do Envio]]&gt;=1,"SIM","NÃO")</f>
        <v>SIM</v>
      </c>
      <c r="P85" s="12" t="s">
        <v>878</v>
      </c>
      <c r="Q85" s="14" t="s">
        <v>879</v>
      </c>
    </row>
    <row r="86" spans="1:17" ht="15" customHeight="1" x14ac:dyDescent="0.3">
      <c r="A86" s="15">
        <v>46026.718055555553</v>
      </c>
      <c r="B86" s="12" t="s">
        <v>326</v>
      </c>
      <c r="C86" s="12" t="s">
        <v>165</v>
      </c>
      <c r="D86" s="12"/>
      <c r="E86" s="12" t="s">
        <v>848</v>
      </c>
      <c r="F86" s="13"/>
      <c r="G86" s="12" t="s">
        <v>848</v>
      </c>
      <c r="H86" s="13"/>
      <c r="I86" s="12" t="s">
        <v>848</v>
      </c>
      <c r="J86" s="13"/>
      <c r="K86" s="12" t="s">
        <v>848</v>
      </c>
      <c r="L86" s="13"/>
      <c r="M86" s="12" t="s">
        <v>225</v>
      </c>
      <c r="N86" s="12" t="s">
        <v>325</v>
      </c>
      <c r="O86" s="12" t="str">
        <f>IF(TabelaRespostas[[#This Row],[Momento do Envio]]&gt;=1,"SIM","NÃO")</f>
        <v>SIM</v>
      </c>
      <c r="P86" s="12" t="s">
        <v>878</v>
      </c>
      <c r="Q86" s="14" t="s">
        <v>879</v>
      </c>
    </row>
    <row r="87" spans="1:17" ht="15" customHeight="1" x14ac:dyDescent="0.3">
      <c r="A87" s="15">
        <v>46026.718055555553</v>
      </c>
      <c r="B87" s="12" t="s">
        <v>326</v>
      </c>
      <c r="C87" s="12" t="s">
        <v>505</v>
      </c>
      <c r="D87" s="12"/>
      <c r="E87" s="12" t="s">
        <v>848</v>
      </c>
      <c r="F87" s="13"/>
      <c r="G87" s="12" t="s">
        <v>848</v>
      </c>
      <c r="H87" s="13"/>
      <c r="I87" s="12" t="s">
        <v>848</v>
      </c>
      <c r="J87" s="13"/>
      <c r="K87" s="12" t="s">
        <v>848</v>
      </c>
      <c r="L87" s="13"/>
      <c r="M87" s="12" t="s">
        <v>503</v>
      </c>
      <c r="N87" s="12" t="s">
        <v>515</v>
      </c>
      <c r="O87" s="12" t="str">
        <f>IF(TabelaRespostas[[#This Row],[Momento do Envio]]&gt;=1,"SIM","NÃO")</f>
        <v>SIM</v>
      </c>
      <c r="P87" s="12" t="s">
        <v>878</v>
      </c>
      <c r="Q87" s="14" t="s">
        <v>879</v>
      </c>
    </row>
    <row r="88" spans="1:17" ht="15" customHeight="1" x14ac:dyDescent="0.3">
      <c r="A88" s="15">
        <v>46026.725694444445</v>
      </c>
      <c r="B88" s="12" t="s">
        <v>297</v>
      </c>
      <c r="C88" s="12" t="s">
        <v>300</v>
      </c>
      <c r="D88" s="12"/>
      <c r="E88" s="12" t="s">
        <v>848</v>
      </c>
      <c r="F88" s="13"/>
      <c r="G88" s="12" t="s">
        <v>848</v>
      </c>
      <c r="H88" s="13"/>
      <c r="I88" s="12" t="s">
        <v>848</v>
      </c>
      <c r="J88" s="13"/>
      <c r="K88" s="12" t="s">
        <v>848</v>
      </c>
      <c r="L88" s="13"/>
      <c r="M88" s="12" t="s">
        <v>309</v>
      </c>
      <c r="N88" s="12" t="s">
        <v>307</v>
      </c>
      <c r="O88" s="12" t="str">
        <f>IF(TabelaRespostas[[#This Row],[Momento do Envio]]&gt;=1,"SIM","NÃO")</f>
        <v>SIM</v>
      </c>
      <c r="P88" s="12" t="s">
        <v>880</v>
      </c>
      <c r="Q88" s="14"/>
    </row>
    <row r="89" spans="1:17" ht="15" customHeight="1" x14ac:dyDescent="0.3">
      <c r="A89" s="15">
        <v>46026.725694444445</v>
      </c>
      <c r="B89" s="12" t="s">
        <v>297</v>
      </c>
      <c r="C89" s="12" t="s">
        <v>304</v>
      </c>
      <c r="D89" s="12"/>
      <c r="E89" s="12" t="s">
        <v>848</v>
      </c>
      <c r="F89" s="13"/>
      <c r="G89" s="12" t="s">
        <v>848</v>
      </c>
      <c r="H89" s="13"/>
      <c r="I89" s="12" t="s">
        <v>848</v>
      </c>
      <c r="J89" s="13"/>
      <c r="K89" s="12" t="s">
        <v>848</v>
      </c>
      <c r="L89" s="13"/>
      <c r="M89" s="12" t="s">
        <v>314</v>
      </c>
      <c r="N89" s="12" t="s">
        <v>307</v>
      </c>
      <c r="O89" s="12" t="str">
        <f>IF(TabelaRespostas[[#This Row],[Momento do Envio]]&gt;=1,"SIM","NÃO")</f>
        <v>SIM</v>
      </c>
      <c r="P89" s="12" t="s">
        <v>880</v>
      </c>
      <c r="Q89" s="14"/>
    </row>
    <row r="90" spans="1:17" ht="15" customHeight="1" x14ac:dyDescent="0.3">
      <c r="A90" s="15">
        <v>46026.725694444445</v>
      </c>
      <c r="B90" s="12" t="s">
        <v>297</v>
      </c>
      <c r="C90" s="12" t="s">
        <v>307</v>
      </c>
      <c r="D90" s="12"/>
      <c r="E90" s="12" t="s">
        <v>848</v>
      </c>
      <c r="F90" s="13"/>
      <c r="G90" s="12" t="s">
        <v>848</v>
      </c>
      <c r="H90" s="13"/>
      <c r="I90" s="12" t="s">
        <v>848</v>
      </c>
      <c r="J90" s="13"/>
      <c r="K90" s="12" t="s">
        <v>848</v>
      </c>
      <c r="L90" s="13"/>
      <c r="M90" s="12" t="s">
        <v>314</v>
      </c>
      <c r="N90" s="12" t="s">
        <v>304</v>
      </c>
      <c r="O90" s="12" t="str">
        <f>IF(TabelaRespostas[[#This Row],[Momento do Envio]]&gt;=1,"SIM","NÃO")</f>
        <v>SIM</v>
      </c>
      <c r="P90" s="12" t="s">
        <v>880</v>
      </c>
      <c r="Q90" s="14"/>
    </row>
    <row r="91" spans="1:17" ht="15" customHeight="1" x14ac:dyDescent="0.3">
      <c r="A91" s="15">
        <v>46026.725694444445</v>
      </c>
      <c r="B91" s="12" t="s">
        <v>297</v>
      </c>
      <c r="C91" s="12" t="s">
        <v>309</v>
      </c>
      <c r="D91" s="12"/>
      <c r="E91" s="12" t="s">
        <v>848</v>
      </c>
      <c r="F91" s="13"/>
      <c r="G91" s="12" t="s">
        <v>848</v>
      </c>
      <c r="H91" s="13"/>
      <c r="I91" s="12" t="s">
        <v>848</v>
      </c>
      <c r="J91" s="13"/>
      <c r="K91" s="12" t="s">
        <v>848</v>
      </c>
      <c r="L91" s="13"/>
      <c r="M91" s="12" t="s">
        <v>311</v>
      </c>
      <c r="N91" s="12" t="s">
        <v>300</v>
      </c>
      <c r="O91" s="12" t="str">
        <f>IF(TabelaRespostas[[#This Row],[Momento do Envio]]&gt;=1,"SIM","NÃO")</f>
        <v>SIM</v>
      </c>
      <c r="P91" s="12" t="s">
        <v>880</v>
      </c>
      <c r="Q91" s="14"/>
    </row>
    <row r="92" spans="1:17" ht="15" customHeight="1" x14ac:dyDescent="0.3">
      <c r="A92" s="15">
        <v>46026.725694444445</v>
      </c>
      <c r="B92" s="12" t="s">
        <v>297</v>
      </c>
      <c r="C92" s="12" t="s">
        <v>311</v>
      </c>
      <c r="D92" s="12"/>
      <c r="E92" s="12" t="s">
        <v>848</v>
      </c>
      <c r="F92" s="13"/>
      <c r="G92" s="12" t="s">
        <v>848</v>
      </c>
      <c r="H92" s="13"/>
      <c r="I92" s="12" t="s">
        <v>848</v>
      </c>
      <c r="J92" s="13"/>
      <c r="K92" s="12" t="s">
        <v>848</v>
      </c>
      <c r="L92" s="13"/>
      <c r="M92" s="12" t="s">
        <v>309</v>
      </c>
      <c r="N92" s="12" t="s">
        <v>300</v>
      </c>
      <c r="O92" s="12" t="str">
        <f>IF(TabelaRespostas[[#This Row],[Momento do Envio]]&gt;=1,"SIM","NÃO")</f>
        <v>SIM</v>
      </c>
      <c r="P92" s="12" t="s">
        <v>880</v>
      </c>
      <c r="Q92" s="14"/>
    </row>
    <row r="93" spans="1:17" ht="15" customHeight="1" x14ac:dyDescent="0.3">
      <c r="A93" s="15">
        <v>46026.725694444445</v>
      </c>
      <c r="B93" s="12" t="s">
        <v>297</v>
      </c>
      <c r="C93" s="12" t="s">
        <v>314</v>
      </c>
      <c r="D93" s="12"/>
      <c r="E93" s="12" t="s">
        <v>848</v>
      </c>
      <c r="F93" s="13"/>
      <c r="G93" s="12" t="s">
        <v>848</v>
      </c>
      <c r="H93" s="13"/>
      <c r="I93" s="12" t="s">
        <v>848</v>
      </c>
      <c r="J93" s="13"/>
      <c r="K93" s="12" t="s">
        <v>848</v>
      </c>
      <c r="L93" s="13"/>
      <c r="M93" s="12" t="s">
        <v>304</v>
      </c>
      <c r="N93" s="12" t="s">
        <v>307</v>
      </c>
      <c r="O93" s="12" t="str">
        <f>IF(TabelaRespostas[[#This Row],[Momento do Envio]]&gt;=1,"SIM","NÃO")</f>
        <v>SIM</v>
      </c>
      <c r="P93" s="12" t="s">
        <v>880</v>
      </c>
      <c r="Q93" s="14"/>
    </row>
    <row r="94" spans="1:17" ht="15" customHeight="1" x14ac:dyDescent="0.3">
      <c r="A94" s="15">
        <v>46026.727777777778</v>
      </c>
      <c r="B94" s="12" t="s">
        <v>650</v>
      </c>
      <c r="C94" s="12" t="s">
        <v>652</v>
      </c>
      <c r="D94" s="12"/>
      <c r="E94" s="12" t="s">
        <v>848</v>
      </c>
      <c r="F94" s="13"/>
      <c r="G94" s="12" t="s">
        <v>848</v>
      </c>
      <c r="H94" s="13"/>
      <c r="I94" s="12" t="s">
        <v>848</v>
      </c>
      <c r="J94" s="13"/>
      <c r="K94" s="12" t="s">
        <v>862</v>
      </c>
      <c r="L94" s="13"/>
      <c r="M94" s="12" t="s">
        <v>654</v>
      </c>
      <c r="N94" s="12" t="s">
        <v>881</v>
      </c>
      <c r="O94" s="12" t="str">
        <f>IF(TabelaRespostas[[#This Row],[Momento do Envio]]&gt;=1,"SIM","NÃO")</f>
        <v>SIM</v>
      </c>
      <c r="P94" s="12" t="s">
        <v>882</v>
      </c>
      <c r="Q94" s="14" t="s">
        <v>883</v>
      </c>
    </row>
    <row r="95" spans="1:17" ht="15" customHeight="1" x14ac:dyDescent="0.3">
      <c r="A95" s="15">
        <v>46026.727777777778</v>
      </c>
      <c r="B95" s="12" t="s">
        <v>650</v>
      </c>
      <c r="C95" s="12" t="s">
        <v>654</v>
      </c>
      <c r="D95" s="12"/>
      <c r="E95" s="12" t="s">
        <v>848</v>
      </c>
      <c r="F95" s="13"/>
      <c r="G95" s="12" t="s">
        <v>848</v>
      </c>
      <c r="H95" s="13"/>
      <c r="I95" s="12" t="s">
        <v>848</v>
      </c>
      <c r="J95" s="13"/>
      <c r="K95" s="12" t="s">
        <v>862</v>
      </c>
      <c r="L95" s="13"/>
      <c r="M95" s="12" t="s">
        <v>652</v>
      </c>
      <c r="N95" s="12" t="s">
        <v>881</v>
      </c>
      <c r="O95" s="12" t="str">
        <f>IF(TabelaRespostas[[#This Row],[Momento do Envio]]&gt;=1,"SIM","NÃO")</f>
        <v>SIM</v>
      </c>
      <c r="P95" s="12" t="s">
        <v>882</v>
      </c>
      <c r="Q95" s="14" t="s">
        <v>883</v>
      </c>
    </row>
    <row r="96" spans="1:17" ht="15" customHeight="1" x14ac:dyDescent="0.3">
      <c r="A96" s="15">
        <v>46057.397222222222</v>
      </c>
      <c r="B96" s="12" t="s">
        <v>371</v>
      </c>
      <c r="C96" s="12" t="s">
        <v>373</v>
      </c>
      <c r="D96" s="12"/>
      <c r="E96" s="12" t="s">
        <v>848</v>
      </c>
      <c r="F96" s="13"/>
      <c r="G96" s="12" t="s">
        <v>848</v>
      </c>
      <c r="H96" s="13"/>
      <c r="I96" s="12" t="s">
        <v>848</v>
      </c>
      <c r="J96" s="13"/>
      <c r="K96" s="12" t="s">
        <v>848</v>
      </c>
      <c r="L96" s="13"/>
      <c r="M96" s="12" t="s">
        <v>774</v>
      </c>
      <c r="N96" s="12" t="s">
        <v>652</v>
      </c>
      <c r="O96" s="12" t="str">
        <f>IF(TabelaRespostas[[#This Row],[Momento do Envio]]&gt;=1,"SIM","NÃO")</f>
        <v>SIM</v>
      </c>
      <c r="P96" s="12" t="s">
        <v>884</v>
      </c>
      <c r="Q96" s="14"/>
    </row>
    <row r="97" spans="1:17" ht="15" customHeight="1" x14ac:dyDescent="0.3">
      <c r="A97" s="15">
        <v>46057.404861111114</v>
      </c>
      <c r="B97" s="12" t="s">
        <v>156</v>
      </c>
      <c r="C97" s="12" t="s">
        <v>326</v>
      </c>
      <c r="D97" s="12"/>
      <c r="E97" s="12" t="s">
        <v>848</v>
      </c>
      <c r="F97" s="13"/>
      <c r="G97" s="12" t="s">
        <v>848</v>
      </c>
      <c r="H97" s="13"/>
      <c r="I97" s="12" t="s">
        <v>848</v>
      </c>
      <c r="J97" s="13"/>
      <c r="K97" s="12" t="s">
        <v>848</v>
      </c>
      <c r="L97" s="13"/>
      <c r="M97" s="12" t="s">
        <v>183</v>
      </c>
      <c r="N97" s="12" t="s">
        <v>29</v>
      </c>
      <c r="O97" s="12" t="str">
        <f>IF(TabelaRespostas[[#This Row],[Momento do Envio]]&gt;=1,"SIM","NÃO")</f>
        <v>SIM</v>
      </c>
      <c r="P97" s="12" t="s">
        <v>885</v>
      </c>
      <c r="Q97" s="14"/>
    </row>
    <row r="98" spans="1:17" ht="15" customHeight="1" x14ac:dyDescent="0.3">
      <c r="A98" s="15">
        <v>46057.442361111112</v>
      </c>
      <c r="B98" s="12" t="s">
        <v>148</v>
      </c>
      <c r="C98" s="12" t="s">
        <v>395</v>
      </c>
      <c r="D98" s="12"/>
      <c r="E98" s="12" t="s">
        <v>848</v>
      </c>
      <c r="F98" s="13"/>
      <c r="G98" s="12" t="s">
        <v>848</v>
      </c>
      <c r="H98" s="13"/>
      <c r="I98" s="12" t="s">
        <v>848</v>
      </c>
      <c r="J98" s="13"/>
      <c r="K98" s="12" t="s">
        <v>848</v>
      </c>
      <c r="L98" s="13"/>
      <c r="M98" s="12" t="s">
        <v>183</v>
      </c>
      <c r="N98" s="12" t="s">
        <v>326</v>
      </c>
      <c r="O98" s="12" t="str">
        <f>IF(TabelaRespostas[[#This Row],[Momento do Envio]]&gt;=1,"SIM","NÃO")</f>
        <v>SIM</v>
      </c>
      <c r="P98" s="12" t="s">
        <v>886</v>
      </c>
      <c r="Q98" s="14"/>
    </row>
    <row r="99" spans="1:17" ht="15" customHeight="1" x14ac:dyDescent="0.3">
      <c r="A99" s="15">
        <v>46057.442361111112</v>
      </c>
      <c r="B99" s="12" t="s">
        <v>148</v>
      </c>
      <c r="C99" s="12" t="s">
        <v>183</v>
      </c>
      <c r="D99" s="12"/>
      <c r="E99" s="12" t="s">
        <v>848</v>
      </c>
      <c r="F99" s="13"/>
      <c r="G99" s="12" t="s">
        <v>848</v>
      </c>
      <c r="H99" s="13"/>
      <c r="I99" s="12" t="s">
        <v>848</v>
      </c>
      <c r="J99" s="13"/>
      <c r="K99" s="12" t="s">
        <v>848</v>
      </c>
      <c r="L99" s="13"/>
      <c r="M99" s="12" t="s">
        <v>395</v>
      </c>
      <c r="N99" s="12" t="s">
        <v>291</v>
      </c>
      <c r="O99" s="12" t="str">
        <f>IF(TabelaRespostas[[#This Row],[Momento do Envio]]&gt;=1,"SIM","NÃO")</f>
        <v>SIM</v>
      </c>
      <c r="P99" s="12" t="s">
        <v>886</v>
      </c>
      <c r="Q99" s="14"/>
    </row>
    <row r="100" spans="1:17" ht="15" customHeight="1" x14ac:dyDescent="0.3">
      <c r="A100" s="15">
        <v>46057.720138888886</v>
      </c>
      <c r="B100" s="12" t="s">
        <v>111</v>
      </c>
      <c r="C100" s="12" t="s">
        <v>114</v>
      </c>
      <c r="D100" s="12"/>
      <c r="E100" s="12" t="s">
        <v>848</v>
      </c>
      <c r="F100" s="13"/>
      <c r="G100" s="12" t="s">
        <v>848</v>
      </c>
      <c r="H100" s="13"/>
      <c r="I100" s="12" t="s">
        <v>848</v>
      </c>
      <c r="J100" s="13"/>
      <c r="K100" s="12" t="s">
        <v>848</v>
      </c>
      <c r="L100" s="13"/>
      <c r="M100" s="12" t="s">
        <v>123</v>
      </c>
      <c r="N100" s="12" t="s">
        <v>120</v>
      </c>
      <c r="O100" s="12" t="str">
        <f>IF(TabelaRespostas[[#This Row],[Momento do Envio]]&gt;=1,"SIM","NÃO")</f>
        <v>SIM</v>
      </c>
      <c r="P100" s="12" t="s">
        <v>887</v>
      </c>
      <c r="Q100" s="14"/>
    </row>
    <row r="101" spans="1:17" ht="15" customHeight="1" x14ac:dyDescent="0.3">
      <c r="A101" s="15">
        <v>46057.720138888886</v>
      </c>
      <c r="B101" s="12" t="s">
        <v>111</v>
      </c>
      <c r="C101" s="12" t="s">
        <v>117</v>
      </c>
      <c r="D101" s="12"/>
      <c r="E101" s="12" t="s">
        <v>848</v>
      </c>
      <c r="F101" s="13"/>
      <c r="G101" s="12" t="s">
        <v>848</v>
      </c>
      <c r="H101" s="13"/>
      <c r="I101" s="12" t="s">
        <v>848</v>
      </c>
      <c r="J101" s="13"/>
      <c r="K101" s="12" t="s">
        <v>848</v>
      </c>
      <c r="L101" s="13"/>
      <c r="M101" s="12" t="s">
        <v>114</v>
      </c>
      <c r="N101" s="12" t="s">
        <v>120</v>
      </c>
      <c r="O101" s="12" t="str">
        <f>IF(TabelaRespostas[[#This Row],[Momento do Envio]]&gt;=1,"SIM","NÃO")</f>
        <v>SIM</v>
      </c>
      <c r="P101" s="12" t="s">
        <v>887</v>
      </c>
      <c r="Q101" s="14"/>
    </row>
    <row r="102" spans="1:17" ht="15" customHeight="1" x14ac:dyDescent="0.3">
      <c r="A102" s="15">
        <v>46057.720138888886</v>
      </c>
      <c r="B102" s="12" t="s">
        <v>111</v>
      </c>
      <c r="C102" s="12" t="s">
        <v>120</v>
      </c>
      <c r="D102" s="12"/>
      <c r="E102" s="12" t="s">
        <v>848</v>
      </c>
      <c r="F102" s="13"/>
      <c r="G102" s="12" t="s">
        <v>848</v>
      </c>
      <c r="H102" s="13"/>
      <c r="I102" s="12" t="s">
        <v>848</v>
      </c>
      <c r="J102" s="13"/>
      <c r="K102" s="12" t="s">
        <v>848</v>
      </c>
      <c r="L102" s="13"/>
      <c r="M102" s="12" t="s">
        <v>114</v>
      </c>
      <c r="N102" s="12" t="s">
        <v>123</v>
      </c>
      <c r="O102" s="12" t="str">
        <f>IF(TabelaRespostas[[#This Row],[Momento do Envio]]&gt;=1,"SIM","NÃO")</f>
        <v>SIM</v>
      </c>
      <c r="P102" s="12" t="s">
        <v>887</v>
      </c>
      <c r="Q102" s="14"/>
    </row>
    <row r="103" spans="1:17" ht="15" customHeight="1" x14ac:dyDescent="0.3">
      <c r="A103" s="15">
        <v>46057.720138888886</v>
      </c>
      <c r="B103" s="12" t="s">
        <v>111</v>
      </c>
      <c r="C103" s="12" t="s">
        <v>123</v>
      </c>
      <c r="D103" s="12"/>
      <c r="E103" s="12" t="s">
        <v>848</v>
      </c>
      <c r="F103" s="13"/>
      <c r="G103" s="12" t="s">
        <v>848</v>
      </c>
      <c r="H103" s="13"/>
      <c r="I103" s="12" t="s">
        <v>848</v>
      </c>
      <c r="J103" s="13"/>
      <c r="K103" s="12" t="s">
        <v>848</v>
      </c>
      <c r="L103" s="13"/>
      <c r="M103" s="12" t="s">
        <v>120</v>
      </c>
      <c r="N103" s="12" t="s">
        <v>114</v>
      </c>
      <c r="O103" s="12" t="str">
        <f>IF(TabelaRespostas[[#This Row],[Momento do Envio]]&gt;=1,"SIM","NÃO")</f>
        <v>SIM</v>
      </c>
      <c r="P103" s="12" t="s">
        <v>887</v>
      </c>
      <c r="Q103" s="14"/>
    </row>
    <row r="104" spans="1:17" ht="15" customHeight="1" x14ac:dyDescent="0.3">
      <c r="A104" s="15">
        <v>46057.720138888886</v>
      </c>
      <c r="B104" s="12" t="s">
        <v>111</v>
      </c>
      <c r="C104" s="12" t="s">
        <v>126</v>
      </c>
      <c r="D104" s="12"/>
      <c r="E104" s="12" t="s">
        <v>848</v>
      </c>
      <c r="F104" s="13"/>
      <c r="G104" s="12" t="s">
        <v>848</v>
      </c>
      <c r="H104" s="13"/>
      <c r="I104" s="12" t="s">
        <v>848</v>
      </c>
      <c r="J104" s="13"/>
      <c r="K104" s="12" t="s">
        <v>848</v>
      </c>
      <c r="L104" s="13"/>
      <c r="M104" s="12" t="s">
        <v>132</v>
      </c>
      <c r="N104" s="12" t="s">
        <v>134</v>
      </c>
      <c r="O104" s="12" t="str">
        <f>IF(TabelaRespostas[[#This Row],[Momento do Envio]]&gt;=1,"SIM","NÃO")</f>
        <v>SIM</v>
      </c>
      <c r="P104" s="12" t="s">
        <v>887</v>
      </c>
      <c r="Q104" s="14"/>
    </row>
    <row r="105" spans="1:17" ht="15" customHeight="1" x14ac:dyDescent="0.3">
      <c r="A105" s="15">
        <v>46057.720138888886</v>
      </c>
      <c r="B105" s="12" t="s">
        <v>111</v>
      </c>
      <c r="C105" s="12" t="s">
        <v>130</v>
      </c>
      <c r="D105" s="12"/>
      <c r="E105" s="12" t="s">
        <v>848</v>
      </c>
      <c r="F105" s="13"/>
      <c r="G105" s="12" t="s">
        <v>848</v>
      </c>
      <c r="H105" s="13"/>
      <c r="I105" s="12" t="s">
        <v>848</v>
      </c>
      <c r="J105" s="13"/>
      <c r="K105" s="12" t="s">
        <v>848</v>
      </c>
      <c r="L105" s="13"/>
      <c r="M105" s="12" t="s">
        <v>134</v>
      </c>
      <c r="N105" s="12" t="s">
        <v>126</v>
      </c>
      <c r="O105" s="12" t="str">
        <f>IF(TabelaRespostas[[#This Row],[Momento do Envio]]&gt;=1,"SIM","NÃO")</f>
        <v>SIM</v>
      </c>
      <c r="P105" s="12" t="s">
        <v>887</v>
      </c>
      <c r="Q105" s="14"/>
    </row>
    <row r="106" spans="1:17" ht="15" customHeight="1" x14ac:dyDescent="0.3">
      <c r="A106" s="15">
        <v>46057.720138888886</v>
      </c>
      <c r="B106" s="12" t="s">
        <v>111</v>
      </c>
      <c r="C106" s="12" t="s">
        <v>132</v>
      </c>
      <c r="D106" s="12"/>
      <c r="E106" s="12" t="s">
        <v>848</v>
      </c>
      <c r="F106" s="13"/>
      <c r="G106" s="12" t="s">
        <v>848</v>
      </c>
      <c r="H106" s="13"/>
      <c r="I106" s="12" t="s">
        <v>848</v>
      </c>
      <c r="J106" s="13"/>
      <c r="K106" s="12" t="s">
        <v>848</v>
      </c>
      <c r="L106" s="13"/>
      <c r="M106" s="12" t="s">
        <v>130</v>
      </c>
      <c r="N106" s="12" t="s">
        <v>126</v>
      </c>
      <c r="O106" s="12" t="str">
        <f>IF(TabelaRespostas[[#This Row],[Momento do Envio]]&gt;=1,"SIM","NÃO")</f>
        <v>SIM</v>
      </c>
      <c r="P106" s="12" t="s">
        <v>887</v>
      </c>
      <c r="Q106" s="14"/>
    </row>
    <row r="107" spans="1:17" ht="15" customHeight="1" x14ac:dyDescent="0.3">
      <c r="A107" s="15">
        <v>46057.720138888886</v>
      </c>
      <c r="B107" s="12" t="s">
        <v>111</v>
      </c>
      <c r="C107" s="12" t="s">
        <v>134</v>
      </c>
      <c r="D107" s="12"/>
      <c r="E107" s="12" t="s">
        <v>848</v>
      </c>
      <c r="F107" s="13"/>
      <c r="G107" s="12" t="s">
        <v>848</v>
      </c>
      <c r="H107" s="13"/>
      <c r="I107" s="12" t="s">
        <v>848</v>
      </c>
      <c r="J107" s="13"/>
      <c r="K107" s="12" t="s">
        <v>848</v>
      </c>
      <c r="L107" s="13"/>
      <c r="M107" s="12" t="s">
        <v>136</v>
      </c>
      <c r="N107" s="12" t="s">
        <v>132</v>
      </c>
      <c r="O107" s="12" t="str">
        <f>IF(TabelaRespostas[[#This Row],[Momento do Envio]]&gt;=1,"SIM","NÃO")</f>
        <v>SIM</v>
      </c>
      <c r="P107" s="12" t="s">
        <v>887</v>
      </c>
      <c r="Q107" s="14"/>
    </row>
    <row r="108" spans="1:17" ht="15" customHeight="1" x14ac:dyDescent="0.3">
      <c r="A108" s="15">
        <v>46057.720138888886</v>
      </c>
      <c r="B108" s="12" t="s">
        <v>111</v>
      </c>
      <c r="C108" s="12" t="s">
        <v>136</v>
      </c>
      <c r="D108" s="12"/>
      <c r="E108" s="12" t="s">
        <v>848</v>
      </c>
      <c r="F108" s="13"/>
      <c r="G108" s="12" t="s">
        <v>848</v>
      </c>
      <c r="H108" s="13"/>
      <c r="I108" s="12" t="s">
        <v>848</v>
      </c>
      <c r="J108" s="13"/>
      <c r="K108" s="12" t="s">
        <v>848</v>
      </c>
      <c r="L108" s="13"/>
      <c r="M108" s="12" t="s">
        <v>130</v>
      </c>
      <c r="N108" s="12" t="s">
        <v>134</v>
      </c>
      <c r="O108" s="12" t="str">
        <f>IF(TabelaRespostas[[#This Row],[Momento do Envio]]&gt;=1,"SIM","NÃO")</f>
        <v>SIM</v>
      </c>
      <c r="P108" s="12" t="s">
        <v>887</v>
      </c>
      <c r="Q108" s="14"/>
    </row>
    <row r="109" spans="1:17" ht="15" customHeight="1" x14ac:dyDescent="0.3">
      <c r="A109" s="15">
        <v>46207.743055555555</v>
      </c>
      <c r="B109" s="12" t="s">
        <v>182</v>
      </c>
      <c r="C109" s="12" t="s">
        <v>185</v>
      </c>
      <c r="D109" s="12"/>
      <c r="E109" s="12" t="s">
        <v>848</v>
      </c>
      <c r="F109" s="13"/>
      <c r="G109" s="12" t="s">
        <v>848</v>
      </c>
      <c r="H109" s="13"/>
      <c r="I109" s="12" t="s">
        <v>848</v>
      </c>
      <c r="J109" s="13"/>
      <c r="K109" s="12" t="s">
        <v>848</v>
      </c>
      <c r="L109" s="13"/>
      <c r="M109" s="12" t="s">
        <v>193</v>
      </c>
      <c r="N109" s="12" t="s">
        <v>202</v>
      </c>
      <c r="O109" s="12" t="str">
        <f>IF(TabelaRespostas[[#This Row],[Momento do Envio]]&gt;=1,"SIM","NÃO")</f>
        <v>SIM</v>
      </c>
      <c r="P109" s="12" t="s">
        <v>888</v>
      </c>
      <c r="Q109" s="14"/>
    </row>
    <row r="110" spans="1:17" ht="15" customHeight="1" x14ac:dyDescent="0.3">
      <c r="A110" s="15">
        <v>46207.743055555555</v>
      </c>
      <c r="B110" s="12" t="s">
        <v>182</v>
      </c>
      <c r="C110" s="12" t="s">
        <v>189</v>
      </c>
      <c r="D110" s="12"/>
      <c r="E110" s="12" t="s">
        <v>848</v>
      </c>
      <c r="F110" s="13"/>
      <c r="G110" s="12" t="s">
        <v>848</v>
      </c>
      <c r="H110" s="13"/>
      <c r="I110" s="12" t="s">
        <v>848</v>
      </c>
      <c r="J110" s="13"/>
      <c r="K110" s="12" t="s">
        <v>848</v>
      </c>
      <c r="L110" s="13"/>
      <c r="M110" s="12" t="s">
        <v>193</v>
      </c>
      <c r="N110" s="12" t="s">
        <v>191</v>
      </c>
      <c r="O110" s="12" t="str">
        <f>IF(TabelaRespostas[[#This Row],[Momento do Envio]]&gt;=1,"SIM","NÃO")</f>
        <v>SIM</v>
      </c>
      <c r="P110" s="12" t="s">
        <v>888</v>
      </c>
      <c r="Q110" s="14"/>
    </row>
    <row r="111" spans="1:17" ht="15" customHeight="1" x14ac:dyDescent="0.3">
      <c r="A111" s="15">
        <v>46207.743055555555</v>
      </c>
      <c r="B111" s="12" t="s">
        <v>182</v>
      </c>
      <c r="C111" s="12" t="s">
        <v>191</v>
      </c>
      <c r="D111" s="12"/>
      <c r="E111" s="12" t="s">
        <v>848</v>
      </c>
      <c r="F111" s="13"/>
      <c r="G111" s="12" t="s">
        <v>848</v>
      </c>
      <c r="H111" s="13"/>
      <c r="I111" s="12" t="s">
        <v>848</v>
      </c>
      <c r="J111" s="13"/>
      <c r="K111" s="12" t="s">
        <v>848</v>
      </c>
      <c r="L111" s="13"/>
      <c r="M111" s="12" t="s">
        <v>202</v>
      </c>
      <c r="N111" s="12" t="s">
        <v>189</v>
      </c>
      <c r="O111" s="12" t="str">
        <f>IF(TabelaRespostas[[#This Row],[Momento do Envio]]&gt;=1,"SIM","NÃO")</f>
        <v>SIM</v>
      </c>
      <c r="P111" s="12" t="s">
        <v>888</v>
      </c>
      <c r="Q111" s="14"/>
    </row>
    <row r="112" spans="1:17" ht="15" customHeight="1" x14ac:dyDescent="0.3">
      <c r="A112" s="15">
        <v>46207.743055555555</v>
      </c>
      <c r="B112" s="12" t="s">
        <v>182</v>
      </c>
      <c r="C112" s="12" t="s">
        <v>193</v>
      </c>
      <c r="D112" s="12"/>
      <c r="E112" s="12" t="s">
        <v>848</v>
      </c>
      <c r="F112" s="13"/>
      <c r="G112" s="12" t="s">
        <v>848</v>
      </c>
      <c r="H112" s="13"/>
      <c r="I112" s="12" t="s">
        <v>848</v>
      </c>
      <c r="J112" s="13"/>
      <c r="K112" s="12" t="s">
        <v>848</v>
      </c>
      <c r="L112" s="13"/>
      <c r="M112" s="12" t="s">
        <v>189</v>
      </c>
      <c r="N112" s="12" t="s">
        <v>185</v>
      </c>
      <c r="O112" s="12" t="str">
        <f>IF(TabelaRespostas[[#This Row],[Momento do Envio]]&gt;=1,"SIM","NÃO")</f>
        <v>SIM</v>
      </c>
      <c r="P112" s="12" t="s">
        <v>888</v>
      </c>
      <c r="Q112" s="14"/>
    </row>
    <row r="113" spans="1:17" ht="15" customHeight="1" x14ac:dyDescent="0.3">
      <c r="A113" s="15">
        <v>46207.743055555555</v>
      </c>
      <c r="B113" s="12" t="s">
        <v>182</v>
      </c>
      <c r="C113" s="12" t="s">
        <v>196</v>
      </c>
      <c r="D113" s="12"/>
      <c r="E113" s="12" t="s">
        <v>848</v>
      </c>
      <c r="F113" s="13"/>
      <c r="G113" s="12" t="s">
        <v>848</v>
      </c>
      <c r="H113" s="13"/>
      <c r="I113" s="12" t="s">
        <v>848</v>
      </c>
      <c r="J113" s="13"/>
      <c r="K113" s="12" t="s">
        <v>848</v>
      </c>
      <c r="L113" s="13"/>
      <c r="M113" s="12" t="s">
        <v>199</v>
      </c>
      <c r="N113" s="12" t="s">
        <v>205</v>
      </c>
      <c r="O113" s="12" t="str">
        <f>IF(TabelaRespostas[[#This Row],[Momento do Envio]]&gt;=1,"SIM","NÃO")</f>
        <v>SIM</v>
      </c>
      <c r="P113" s="12" t="s">
        <v>888</v>
      </c>
      <c r="Q113" s="14"/>
    </row>
    <row r="114" spans="1:17" ht="15" customHeight="1" x14ac:dyDescent="0.3">
      <c r="A114" s="15">
        <v>46207.743055555555</v>
      </c>
      <c r="B114" s="12" t="s">
        <v>182</v>
      </c>
      <c r="C114" s="12" t="s">
        <v>199</v>
      </c>
      <c r="D114" s="12"/>
      <c r="E114" s="12" t="s">
        <v>848</v>
      </c>
      <c r="F114" s="13"/>
      <c r="G114" s="12" t="s">
        <v>848</v>
      </c>
      <c r="H114" s="13"/>
      <c r="I114" s="12" t="s">
        <v>848</v>
      </c>
      <c r="J114" s="13"/>
      <c r="K114" s="12" t="s">
        <v>848</v>
      </c>
      <c r="L114" s="13"/>
      <c r="M114" s="12" t="s">
        <v>196</v>
      </c>
      <c r="N114" s="12" t="s">
        <v>193</v>
      </c>
      <c r="O114" s="12" t="str">
        <f>IF(TabelaRespostas[[#This Row],[Momento do Envio]]&gt;=1,"SIM","NÃO")</f>
        <v>SIM</v>
      </c>
      <c r="P114" s="12" t="s">
        <v>888</v>
      </c>
      <c r="Q114" s="14"/>
    </row>
    <row r="115" spans="1:17" ht="15" customHeight="1" x14ac:dyDescent="0.3">
      <c r="A115" s="15">
        <v>46207.743055555555</v>
      </c>
      <c r="B115" s="12" t="s">
        <v>182</v>
      </c>
      <c r="C115" s="12" t="s">
        <v>202</v>
      </c>
      <c r="D115" s="12"/>
      <c r="E115" s="12" t="s">
        <v>848</v>
      </c>
      <c r="F115" s="13"/>
      <c r="G115" s="12" t="s">
        <v>848</v>
      </c>
      <c r="H115" s="13"/>
      <c r="I115" s="12" t="s">
        <v>848</v>
      </c>
      <c r="J115" s="13"/>
      <c r="K115" s="12" t="s">
        <v>848</v>
      </c>
      <c r="L115" s="13"/>
      <c r="M115" s="12" t="s">
        <v>185</v>
      </c>
      <c r="N115" s="12" t="s">
        <v>191</v>
      </c>
      <c r="O115" s="12" t="str">
        <f>IF(TabelaRespostas[[#This Row],[Momento do Envio]]&gt;=1,"SIM","NÃO")</f>
        <v>SIM</v>
      </c>
      <c r="P115" s="12" t="s">
        <v>888</v>
      </c>
      <c r="Q115" s="14"/>
    </row>
    <row r="116" spans="1:17" ht="15" customHeight="1" x14ac:dyDescent="0.3">
      <c r="A116" s="15">
        <v>46207.743055555555</v>
      </c>
      <c r="B116" s="12" t="s">
        <v>182</v>
      </c>
      <c r="C116" s="12" t="s">
        <v>205</v>
      </c>
      <c r="D116" s="12"/>
      <c r="E116" s="12" t="s">
        <v>848</v>
      </c>
      <c r="F116" s="13"/>
      <c r="G116" s="12" t="s">
        <v>848</v>
      </c>
      <c r="H116" s="13"/>
      <c r="I116" s="12" t="s">
        <v>848</v>
      </c>
      <c r="J116" s="13"/>
      <c r="K116" s="12" t="s">
        <v>848</v>
      </c>
      <c r="L116" s="13"/>
      <c r="M116" s="12" t="s">
        <v>199</v>
      </c>
      <c r="N116" s="12" t="s">
        <v>207</v>
      </c>
      <c r="O116" s="12" t="str">
        <f>IF(TabelaRespostas[[#This Row],[Momento do Envio]]&gt;=1,"SIM","NÃO")</f>
        <v>SIM</v>
      </c>
      <c r="P116" s="12" t="s">
        <v>888</v>
      </c>
      <c r="Q116" s="14"/>
    </row>
    <row r="117" spans="1:17" ht="15" customHeight="1" x14ac:dyDescent="0.3">
      <c r="A117" s="15">
        <v>46207.743055555555</v>
      </c>
      <c r="B117" s="12" t="s">
        <v>182</v>
      </c>
      <c r="C117" s="12" t="s">
        <v>207</v>
      </c>
      <c r="D117" s="12"/>
      <c r="E117" s="12" t="s">
        <v>848</v>
      </c>
      <c r="F117" s="13"/>
      <c r="G117" s="12" t="s">
        <v>848</v>
      </c>
      <c r="H117" s="13"/>
      <c r="I117" s="12" t="s">
        <v>848</v>
      </c>
      <c r="J117" s="13"/>
      <c r="K117" s="12" t="s">
        <v>848</v>
      </c>
      <c r="L117" s="13"/>
      <c r="M117" s="12" t="s">
        <v>196</v>
      </c>
      <c r="N117" s="12" t="s">
        <v>205</v>
      </c>
      <c r="O117" s="12" t="str">
        <f>IF(TabelaRespostas[[#This Row],[Momento do Envio]]&gt;=1,"SIM","NÃO")</f>
        <v>SIM</v>
      </c>
      <c r="P117" s="12" t="s">
        <v>888</v>
      </c>
      <c r="Q117" s="14"/>
    </row>
    <row r="118" spans="1:17" ht="15" customHeight="1" x14ac:dyDescent="0.3">
      <c r="A118" s="15">
        <v>46238.711805555555</v>
      </c>
      <c r="B118" s="12" t="s">
        <v>215</v>
      </c>
      <c r="C118" s="12" t="s">
        <v>217</v>
      </c>
      <c r="D118" s="12"/>
      <c r="E118" s="12" t="s">
        <v>848</v>
      </c>
      <c r="F118" s="13"/>
      <c r="G118" s="12" t="s">
        <v>848</v>
      </c>
      <c r="H118" s="13"/>
      <c r="I118" s="12" t="s">
        <v>848</v>
      </c>
      <c r="J118" s="13"/>
      <c r="K118" s="12" t="s">
        <v>848</v>
      </c>
      <c r="L118" s="13"/>
      <c r="M118" s="12" t="s">
        <v>220</v>
      </c>
      <c r="N118" s="12" t="s">
        <v>223</v>
      </c>
      <c r="O118" s="12" t="str">
        <f>IF(TabelaRespostas[[#This Row],[Momento do Envio]]&gt;=1,"SIM","NÃO")</f>
        <v>SIM</v>
      </c>
      <c r="P118" s="12" t="s">
        <v>889</v>
      </c>
      <c r="Q118" s="14"/>
    </row>
    <row r="119" spans="1:17" ht="15" customHeight="1" x14ac:dyDescent="0.3">
      <c r="A119" s="15">
        <v>46238.711805555555</v>
      </c>
      <c r="B119" s="12" t="s">
        <v>215</v>
      </c>
      <c r="C119" s="12" t="s">
        <v>217</v>
      </c>
      <c r="D119" s="12"/>
      <c r="E119" s="12" t="s">
        <v>848</v>
      </c>
      <c r="F119" s="13"/>
      <c r="G119" s="12" t="s">
        <v>848</v>
      </c>
      <c r="H119" s="13"/>
      <c r="I119" s="12" t="s">
        <v>848</v>
      </c>
      <c r="J119" s="13"/>
      <c r="K119" s="12" t="s">
        <v>848</v>
      </c>
      <c r="L119" s="13"/>
      <c r="M119" s="12" t="s">
        <v>220</v>
      </c>
      <c r="N119" s="12" t="s">
        <v>223</v>
      </c>
      <c r="O119" s="12" t="str">
        <f>IF(TabelaRespostas[[#This Row],[Momento do Envio]]&gt;=1,"SIM","NÃO")</f>
        <v>SIM</v>
      </c>
      <c r="P119" s="12" t="s">
        <v>889</v>
      </c>
      <c r="Q119" s="14"/>
    </row>
    <row r="120" spans="1:17" ht="15" customHeight="1" x14ac:dyDescent="0.3">
      <c r="A120" s="15">
        <v>46238.711805555555</v>
      </c>
      <c r="B120" s="12" t="s">
        <v>215</v>
      </c>
      <c r="C120" s="12" t="s">
        <v>220</v>
      </c>
      <c r="D120" s="12"/>
      <c r="E120" s="12" t="s">
        <v>848</v>
      </c>
      <c r="F120" s="13"/>
      <c r="G120" s="12" t="s">
        <v>848</v>
      </c>
      <c r="H120" s="13"/>
      <c r="I120" s="12" t="s">
        <v>848</v>
      </c>
      <c r="J120" s="13"/>
      <c r="K120" s="12" t="s">
        <v>848</v>
      </c>
      <c r="L120" s="13"/>
      <c r="M120" s="12" t="s">
        <v>217</v>
      </c>
      <c r="N120" s="12" t="s">
        <v>223</v>
      </c>
      <c r="O120" s="12" t="str">
        <f>IF(TabelaRespostas[[#This Row],[Momento do Envio]]&gt;=1,"SIM","NÃO")</f>
        <v>SIM</v>
      </c>
      <c r="P120" s="12" t="s">
        <v>889</v>
      </c>
      <c r="Q120" s="14"/>
    </row>
    <row r="121" spans="1:17" ht="15" customHeight="1" x14ac:dyDescent="0.3">
      <c r="A121" s="15">
        <v>46238.711805555555</v>
      </c>
      <c r="B121" s="12" t="s">
        <v>215</v>
      </c>
      <c r="C121" s="12" t="s">
        <v>220</v>
      </c>
      <c r="D121" s="12"/>
      <c r="E121" s="12" t="s">
        <v>848</v>
      </c>
      <c r="F121" s="13"/>
      <c r="G121" s="12" t="s">
        <v>848</v>
      </c>
      <c r="H121" s="13"/>
      <c r="I121" s="12" t="s">
        <v>848</v>
      </c>
      <c r="J121" s="13"/>
      <c r="K121" s="12" t="s">
        <v>848</v>
      </c>
      <c r="L121" s="13"/>
      <c r="M121" s="12" t="s">
        <v>217</v>
      </c>
      <c r="N121" s="12" t="s">
        <v>223</v>
      </c>
      <c r="O121" s="12" t="str">
        <f>IF(TabelaRespostas[[#This Row],[Momento do Envio]]&gt;=1,"SIM","NÃO")</f>
        <v>SIM</v>
      </c>
      <c r="P121" s="12" t="s">
        <v>889</v>
      </c>
      <c r="Q121" s="14"/>
    </row>
    <row r="122" spans="1:17" ht="15" customHeight="1" x14ac:dyDescent="0.3">
      <c r="A122" s="15">
        <v>46238.711805555555</v>
      </c>
      <c r="B122" s="12" t="s">
        <v>215</v>
      </c>
      <c r="C122" s="12" t="s">
        <v>223</v>
      </c>
      <c r="D122" s="12"/>
      <c r="E122" s="12" t="s">
        <v>848</v>
      </c>
      <c r="F122" s="13"/>
      <c r="G122" s="12" t="s">
        <v>848</v>
      </c>
      <c r="H122" s="13"/>
      <c r="I122" s="12" t="s">
        <v>848</v>
      </c>
      <c r="J122" s="13"/>
      <c r="K122" s="12" t="s">
        <v>848</v>
      </c>
      <c r="L122" s="13"/>
      <c r="M122" s="12" t="s">
        <v>220</v>
      </c>
      <c r="N122" s="12" t="s">
        <v>217</v>
      </c>
      <c r="O122" s="12" t="str">
        <f>IF(TabelaRespostas[[#This Row],[Momento do Envio]]&gt;=1,"SIM","NÃO")</f>
        <v>SIM</v>
      </c>
      <c r="P122" s="12" t="s">
        <v>889</v>
      </c>
      <c r="Q122" s="14"/>
    </row>
    <row r="123" spans="1:17" ht="15" customHeight="1" x14ac:dyDescent="0.3">
      <c r="A123" s="15">
        <v>46238.711805555555</v>
      </c>
      <c r="B123" s="12" t="s">
        <v>215</v>
      </c>
      <c r="C123" s="12" t="s">
        <v>223</v>
      </c>
      <c r="D123" s="12"/>
      <c r="E123" s="12" t="s">
        <v>848</v>
      </c>
      <c r="F123" s="13"/>
      <c r="G123" s="12" t="s">
        <v>848</v>
      </c>
      <c r="H123" s="13"/>
      <c r="I123" s="12" t="s">
        <v>848</v>
      </c>
      <c r="J123" s="13"/>
      <c r="K123" s="12" t="s">
        <v>848</v>
      </c>
      <c r="L123" s="13"/>
      <c r="M123" s="12" t="s">
        <v>220</v>
      </c>
      <c r="N123" s="12" t="s">
        <v>217</v>
      </c>
      <c r="O123" s="12" t="str">
        <f>IF(TabelaRespostas[[#This Row],[Momento do Envio]]&gt;=1,"SIM","NÃO")</f>
        <v>SIM</v>
      </c>
      <c r="P123" s="12" t="s">
        <v>889</v>
      </c>
      <c r="Q123" s="14"/>
    </row>
    <row r="124" spans="1:17" ht="15" customHeight="1" x14ac:dyDescent="0.3">
      <c r="A124" s="15">
        <v>46238.714583333334</v>
      </c>
      <c r="B124" s="12" t="s">
        <v>57</v>
      </c>
      <c r="C124" s="12" t="s">
        <v>139</v>
      </c>
      <c r="D124" s="12"/>
      <c r="E124" s="12" t="s">
        <v>848</v>
      </c>
      <c r="F124" s="13"/>
      <c r="G124" s="12" t="s">
        <v>848</v>
      </c>
      <c r="H124" s="13"/>
      <c r="I124" s="12" t="s">
        <v>848</v>
      </c>
      <c r="J124" s="13"/>
      <c r="K124" s="12" t="s">
        <v>848</v>
      </c>
      <c r="L124" s="13"/>
      <c r="M124" s="12" t="s">
        <v>146</v>
      </c>
      <c r="N124" s="12" t="s">
        <v>143</v>
      </c>
      <c r="O124" s="12" t="str">
        <f>IF(TabelaRespostas[[#This Row],[Momento do Envio]]&gt;=1,"SIM","NÃO")</f>
        <v>SIM</v>
      </c>
      <c r="P124" s="12" t="s">
        <v>890</v>
      </c>
      <c r="Q124" s="14"/>
    </row>
    <row r="125" spans="1:17" ht="15" customHeight="1" x14ac:dyDescent="0.3">
      <c r="A125" s="15">
        <v>46238.714583333334</v>
      </c>
      <c r="B125" s="12" t="s">
        <v>57</v>
      </c>
      <c r="C125" s="12" t="s">
        <v>143</v>
      </c>
      <c r="D125" s="12"/>
      <c r="E125" s="12" t="s">
        <v>848</v>
      </c>
      <c r="F125" s="13"/>
      <c r="G125" s="12" t="s">
        <v>848</v>
      </c>
      <c r="H125" s="13"/>
      <c r="I125" s="12" t="s">
        <v>848</v>
      </c>
      <c r="J125" s="13"/>
      <c r="K125" s="12" t="s">
        <v>848</v>
      </c>
      <c r="L125" s="13"/>
      <c r="M125" s="12" t="s">
        <v>146</v>
      </c>
      <c r="N125" s="12" t="s">
        <v>139</v>
      </c>
      <c r="O125" s="12" t="str">
        <f>IF(TabelaRespostas[[#This Row],[Momento do Envio]]&gt;=1,"SIM","NÃO")</f>
        <v>SIM</v>
      </c>
      <c r="P125" s="12" t="s">
        <v>890</v>
      </c>
      <c r="Q125" s="14"/>
    </row>
    <row r="126" spans="1:17" ht="15" customHeight="1" x14ac:dyDescent="0.3">
      <c r="A126" s="15">
        <v>46238.714583333334</v>
      </c>
      <c r="B126" s="12" t="s">
        <v>57</v>
      </c>
      <c r="C126" s="12" t="s">
        <v>146</v>
      </c>
      <c r="D126" s="12"/>
      <c r="E126" s="12" t="s">
        <v>848</v>
      </c>
      <c r="F126" s="13"/>
      <c r="G126" s="12" t="s">
        <v>848</v>
      </c>
      <c r="H126" s="13"/>
      <c r="I126" s="12" t="s">
        <v>848</v>
      </c>
      <c r="J126" s="13"/>
      <c r="K126" s="12" t="s">
        <v>848</v>
      </c>
      <c r="L126" s="13"/>
      <c r="M126" s="12" t="s">
        <v>143</v>
      </c>
      <c r="N126" s="12" t="s">
        <v>139</v>
      </c>
      <c r="O126" s="12" t="str">
        <f>IF(TabelaRespostas[[#This Row],[Momento do Envio]]&gt;=1,"SIM","NÃO")</f>
        <v>SIM</v>
      </c>
      <c r="P126" s="12" t="s">
        <v>890</v>
      </c>
      <c r="Q126" s="14"/>
    </row>
    <row r="127" spans="1:17" ht="15" customHeight="1" x14ac:dyDescent="0.3">
      <c r="A127" s="15">
        <v>46238.716666666667</v>
      </c>
      <c r="B127" s="12" t="s">
        <v>745</v>
      </c>
      <c r="C127" s="12" t="s">
        <v>747</v>
      </c>
      <c r="D127" s="12"/>
      <c r="E127" s="12" t="s">
        <v>848</v>
      </c>
      <c r="F127" s="13"/>
      <c r="G127" s="12" t="s">
        <v>848</v>
      </c>
      <c r="H127" s="13"/>
      <c r="I127" s="12" t="s">
        <v>848</v>
      </c>
      <c r="J127" s="13"/>
      <c r="K127" s="12" t="s">
        <v>848</v>
      </c>
      <c r="L127" s="13"/>
      <c r="M127" s="12" t="s">
        <v>751</v>
      </c>
      <c r="N127" s="12" t="s">
        <v>753</v>
      </c>
      <c r="O127" s="12" t="str">
        <f>IF(TabelaRespostas[[#This Row],[Momento do Envio]]&gt;=1,"SIM","NÃO")</f>
        <v>SIM</v>
      </c>
      <c r="P127" s="12" t="s">
        <v>891</v>
      </c>
      <c r="Q127" s="14"/>
    </row>
    <row r="128" spans="1:17" ht="15" customHeight="1" x14ac:dyDescent="0.3">
      <c r="A128" s="15">
        <v>46238.716666666667</v>
      </c>
      <c r="B128" s="12" t="s">
        <v>745</v>
      </c>
      <c r="C128" s="12" t="s">
        <v>751</v>
      </c>
      <c r="D128" s="12"/>
      <c r="E128" s="12" t="s">
        <v>848</v>
      </c>
      <c r="F128" s="13"/>
      <c r="G128" s="12" t="s">
        <v>848</v>
      </c>
      <c r="H128" s="13"/>
      <c r="I128" s="12" t="s">
        <v>848</v>
      </c>
      <c r="J128" s="13"/>
      <c r="K128" s="12" t="s">
        <v>848</v>
      </c>
      <c r="L128" s="13"/>
      <c r="M128" s="12" t="s">
        <v>747</v>
      </c>
      <c r="N128" s="12" t="s">
        <v>759</v>
      </c>
      <c r="O128" s="12" t="str">
        <f>IF(TabelaRespostas[[#This Row],[Momento do Envio]]&gt;=1,"SIM","NÃO")</f>
        <v>SIM</v>
      </c>
      <c r="P128" s="12" t="s">
        <v>891</v>
      </c>
      <c r="Q128" s="14"/>
    </row>
    <row r="129" spans="1:17" ht="15" customHeight="1" x14ac:dyDescent="0.3">
      <c r="A129" s="15">
        <v>46238.716666666667</v>
      </c>
      <c r="B129" s="12" t="s">
        <v>745</v>
      </c>
      <c r="C129" s="12" t="s">
        <v>753</v>
      </c>
      <c r="D129" s="12"/>
      <c r="E129" s="12" t="s">
        <v>848</v>
      </c>
      <c r="F129" s="13"/>
      <c r="G129" s="12" t="s">
        <v>848</v>
      </c>
      <c r="H129" s="13"/>
      <c r="I129" s="12" t="s">
        <v>848</v>
      </c>
      <c r="J129" s="13"/>
      <c r="K129" s="12" t="s">
        <v>848</v>
      </c>
      <c r="L129" s="13"/>
      <c r="M129" s="12" t="s">
        <v>747</v>
      </c>
      <c r="N129" s="12" t="s">
        <v>751</v>
      </c>
      <c r="O129" s="12" t="str">
        <f>IF(TabelaRespostas[[#This Row],[Momento do Envio]]&gt;=1,"SIM","NÃO")</f>
        <v>SIM</v>
      </c>
      <c r="P129" s="12" t="s">
        <v>891</v>
      </c>
      <c r="Q129" s="14"/>
    </row>
    <row r="130" spans="1:17" ht="15" customHeight="1" x14ac:dyDescent="0.3">
      <c r="A130" s="15">
        <v>46238.716666666667</v>
      </c>
      <c r="B130" s="12" t="s">
        <v>745</v>
      </c>
      <c r="C130" s="12" t="s">
        <v>756</v>
      </c>
      <c r="D130" s="12"/>
      <c r="E130" s="12" t="s">
        <v>848</v>
      </c>
      <c r="F130" s="13"/>
      <c r="G130" s="12" t="s">
        <v>848</v>
      </c>
      <c r="H130" s="13"/>
      <c r="I130" s="12" t="s">
        <v>848</v>
      </c>
      <c r="J130" s="13"/>
      <c r="K130" s="12" t="s">
        <v>848</v>
      </c>
      <c r="L130" s="13"/>
      <c r="M130" s="12" t="s">
        <v>759</v>
      </c>
      <c r="N130" s="12" t="s">
        <v>747</v>
      </c>
      <c r="O130" s="12" t="str">
        <f>IF(TabelaRespostas[[#This Row],[Momento do Envio]]&gt;=1,"SIM","NÃO")</f>
        <v>SIM</v>
      </c>
      <c r="P130" s="12" t="s">
        <v>891</v>
      </c>
      <c r="Q130" s="14"/>
    </row>
    <row r="131" spans="1:17" ht="15" customHeight="1" x14ac:dyDescent="0.3">
      <c r="A131" s="15">
        <v>46238.716666666667</v>
      </c>
      <c r="B131" s="12" t="s">
        <v>745</v>
      </c>
      <c r="C131" s="12" t="s">
        <v>759</v>
      </c>
      <c r="D131" s="12"/>
      <c r="E131" s="12" t="s">
        <v>848</v>
      </c>
      <c r="F131" s="13"/>
      <c r="G131" s="12" t="s">
        <v>848</v>
      </c>
      <c r="H131" s="13"/>
      <c r="I131" s="12" t="s">
        <v>848</v>
      </c>
      <c r="J131" s="13"/>
      <c r="K131" s="12" t="s">
        <v>848</v>
      </c>
      <c r="L131" s="13"/>
      <c r="M131" s="12" t="s">
        <v>751</v>
      </c>
      <c r="N131" s="12" t="s">
        <v>753</v>
      </c>
      <c r="O131" s="12" t="str">
        <f>IF(TabelaRespostas[[#This Row],[Momento do Envio]]&gt;=1,"SIM","NÃO")</f>
        <v>SIM</v>
      </c>
      <c r="P131" s="12" t="s">
        <v>891</v>
      </c>
      <c r="Q131" s="14"/>
    </row>
    <row r="132" spans="1:17" ht="15" customHeight="1" x14ac:dyDescent="0.3">
      <c r="A132" s="15">
        <v>46238.74722222222</v>
      </c>
      <c r="B132" s="12" t="s">
        <v>325</v>
      </c>
      <c r="C132" s="12" t="s">
        <v>328</v>
      </c>
      <c r="D132" s="12"/>
      <c r="E132" s="12" t="s">
        <v>848</v>
      </c>
      <c r="F132" s="13"/>
      <c r="G132" s="12" t="s">
        <v>848</v>
      </c>
      <c r="H132" s="13"/>
      <c r="I132" s="12" t="s">
        <v>848</v>
      </c>
      <c r="J132" s="13"/>
      <c r="K132" s="12" t="s">
        <v>848</v>
      </c>
      <c r="L132" s="13"/>
      <c r="M132" s="12" t="s">
        <v>331</v>
      </c>
      <c r="N132" s="12" t="s">
        <v>510</v>
      </c>
      <c r="O132" s="12" t="str">
        <f>IF(TabelaRespostas[[#This Row],[Momento do Envio]]&gt;=1,"SIM","NÃO")</f>
        <v>SIM</v>
      </c>
      <c r="P132" s="12" t="s">
        <v>892</v>
      </c>
      <c r="Q132" s="14"/>
    </row>
    <row r="133" spans="1:17" ht="15" customHeight="1" x14ac:dyDescent="0.3">
      <c r="A133" s="15">
        <v>46238.74722222222</v>
      </c>
      <c r="B133" s="12" t="s">
        <v>325</v>
      </c>
      <c r="C133" s="12" t="s">
        <v>331</v>
      </c>
      <c r="D133" s="12"/>
      <c r="E133" s="12" t="s">
        <v>848</v>
      </c>
      <c r="F133" s="13"/>
      <c r="G133" s="12" t="s">
        <v>848</v>
      </c>
      <c r="H133" s="13"/>
      <c r="I133" s="12" t="s">
        <v>848</v>
      </c>
      <c r="J133" s="13"/>
      <c r="K133" s="12" t="s">
        <v>848</v>
      </c>
      <c r="L133" s="13"/>
      <c r="M133" s="12" t="s">
        <v>328</v>
      </c>
      <c r="N133" s="12" t="s">
        <v>559</v>
      </c>
      <c r="O133" s="12" t="str">
        <f>IF(TabelaRespostas[[#This Row],[Momento do Envio]]&gt;=1,"SIM","NÃO")</f>
        <v>SIM</v>
      </c>
      <c r="P133" s="12" t="s">
        <v>892</v>
      </c>
      <c r="Q133" s="14"/>
    </row>
    <row r="134" spans="1:17" ht="15" customHeight="1" x14ac:dyDescent="0.3">
      <c r="A134" s="15">
        <v>46238.796527777777</v>
      </c>
      <c r="B134" s="12" t="s">
        <v>209</v>
      </c>
      <c r="C134" s="12" t="s">
        <v>212</v>
      </c>
      <c r="D134" s="12"/>
      <c r="E134" s="12" t="s">
        <v>848</v>
      </c>
      <c r="F134" s="13"/>
      <c r="G134" s="12" t="s">
        <v>848</v>
      </c>
      <c r="H134" s="13"/>
      <c r="I134" s="12" t="s">
        <v>848</v>
      </c>
      <c r="J134" s="13"/>
      <c r="K134" s="12" t="s">
        <v>848</v>
      </c>
      <c r="L134" s="13"/>
      <c r="M134" s="12" t="s">
        <v>9</v>
      </c>
      <c r="N134" s="12" t="s">
        <v>482</v>
      </c>
      <c r="O134" s="12" t="str">
        <f>IF(TabelaRespostas[[#This Row],[Momento do Envio]]&gt;=1,"SIM","NÃO")</f>
        <v>SIM</v>
      </c>
      <c r="P134" s="12" t="s">
        <v>893</v>
      </c>
      <c r="Q134" s="14"/>
    </row>
    <row r="135" spans="1:17" ht="15" customHeight="1" x14ac:dyDescent="0.3">
      <c r="A135" s="15">
        <v>46269.030555555553</v>
      </c>
      <c r="B135" s="12" t="s">
        <v>332</v>
      </c>
      <c r="C135" s="12" t="s">
        <v>334</v>
      </c>
      <c r="D135" s="12"/>
      <c r="E135" s="12" t="s">
        <v>848</v>
      </c>
      <c r="F135" s="13"/>
      <c r="G135" s="12" t="s">
        <v>848</v>
      </c>
      <c r="H135" s="13"/>
      <c r="I135" s="12" t="s">
        <v>848</v>
      </c>
      <c r="J135" s="13"/>
      <c r="K135" s="12" t="s">
        <v>848</v>
      </c>
      <c r="L135" s="13"/>
      <c r="M135" s="12" t="s">
        <v>337</v>
      </c>
      <c r="N135" s="12" t="s">
        <v>340</v>
      </c>
      <c r="O135" s="12" t="str">
        <f>IF(TabelaRespostas[[#This Row],[Momento do Envio]]&gt;=1,"SIM","NÃO")</f>
        <v>SIM</v>
      </c>
      <c r="P135" s="12" t="s">
        <v>894</v>
      </c>
      <c r="Q135" s="14" t="s">
        <v>895</v>
      </c>
    </row>
    <row r="136" spans="1:17" ht="15" customHeight="1" x14ac:dyDescent="0.3">
      <c r="A136" s="15">
        <v>46269.030555555553</v>
      </c>
      <c r="B136" s="12" t="s">
        <v>332</v>
      </c>
      <c r="C136" s="12" t="s">
        <v>337</v>
      </c>
      <c r="D136" s="12"/>
      <c r="E136" s="12" t="s">
        <v>848</v>
      </c>
      <c r="F136" s="13"/>
      <c r="G136" s="12" t="s">
        <v>848</v>
      </c>
      <c r="H136" s="13"/>
      <c r="I136" s="12" t="s">
        <v>848</v>
      </c>
      <c r="J136" s="13"/>
      <c r="K136" s="12" t="s">
        <v>848</v>
      </c>
      <c r="L136" s="13"/>
      <c r="M136" s="12" t="s">
        <v>334</v>
      </c>
      <c r="N136" s="12" t="s">
        <v>340</v>
      </c>
      <c r="O136" s="12" t="str">
        <f>IF(TabelaRespostas[[#This Row],[Momento do Envio]]&gt;=1,"SIM","NÃO")</f>
        <v>SIM</v>
      </c>
      <c r="P136" s="12" t="s">
        <v>894</v>
      </c>
      <c r="Q136" s="14" t="s">
        <v>895</v>
      </c>
    </row>
    <row r="137" spans="1:17" ht="15" customHeight="1" x14ac:dyDescent="0.3">
      <c r="A137" s="15">
        <v>46269.030555555553</v>
      </c>
      <c r="B137" s="12" t="s">
        <v>332</v>
      </c>
      <c r="C137" s="12" t="s">
        <v>340</v>
      </c>
      <c r="D137" s="12"/>
      <c r="E137" s="12" t="s">
        <v>848</v>
      </c>
      <c r="F137" s="13"/>
      <c r="G137" s="12" t="s">
        <v>848</v>
      </c>
      <c r="H137" s="13"/>
      <c r="I137" s="12" t="s">
        <v>848</v>
      </c>
      <c r="J137" s="13"/>
      <c r="K137" s="12" t="s">
        <v>848</v>
      </c>
      <c r="L137" s="13"/>
      <c r="M137" s="12" t="s">
        <v>337</v>
      </c>
      <c r="N137" s="12" t="s">
        <v>334</v>
      </c>
      <c r="O137" s="12" t="str">
        <f>IF(TabelaRespostas[[#This Row],[Momento do Envio]]&gt;=1,"SIM","NÃO")</f>
        <v>SIM</v>
      </c>
      <c r="P137" s="12" t="s">
        <v>894</v>
      </c>
      <c r="Q137" s="14" t="s">
        <v>895</v>
      </c>
    </row>
    <row r="138" spans="1:17" ht="15" customHeight="1" x14ac:dyDescent="0.3">
      <c r="A138" s="15">
        <v>46269.037499999999</v>
      </c>
      <c r="B138" s="12" t="s">
        <v>375</v>
      </c>
      <c r="C138" s="12" t="s">
        <v>377</v>
      </c>
      <c r="D138" s="12"/>
      <c r="E138" s="12" t="s">
        <v>848</v>
      </c>
      <c r="F138" s="13"/>
      <c r="G138" s="12" t="s">
        <v>848</v>
      </c>
      <c r="H138" s="13"/>
      <c r="I138" s="12" t="s">
        <v>848</v>
      </c>
      <c r="J138" s="13"/>
      <c r="K138" s="12" t="s">
        <v>848</v>
      </c>
      <c r="L138" s="13"/>
      <c r="M138" s="12" t="s">
        <v>380</v>
      </c>
      <c r="N138" s="12" t="s">
        <v>368</v>
      </c>
      <c r="O138" s="12" t="str">
        <f>IF(TabelaRespostas[[#This Row],[Momento do Envio]]&gt;=1,"SIM","NÃO")</f>
        <v>SIM</v>
      </c>
      <c r="P138" s="12" t="s">
        <v>896</v>
      </c>
      <c r="Q138" s="14"/>
    </row>
    <row r="139" spans="1:17" ht="15" customHeight="1" x14ac:dyDescent="0.3">
      <c r="A139" s="15">
        <v>46269.037499999999</v>
      </c>
      <c r="B139" s="12" t="s">
        <v>375</v>
      </c>
      <c r="C139" s="12" t="s">
        <v>380</v>
      </c>
      <c r="D139" s="12"/>
      <c r="E139" s="12" t="s">
        <v>848</v>
      </c>
      <c r="F139" s="13"/>
      <c r="G139" s="12" t="s">
        <v>848</v>
      </c>
      <c r="H139" s="13"/>
      <c r="I139" s="12" t="s">
        <v>848</v>
      </c>
      <c r="J139" s="13"/>
      <c r="K139" s="12" t="s">
        <v>848</v>
      </c>
      <c r="L139" s="13"/>
      <c r="M139" s="12" t="s">
        <v>377</v>
      </c>
      <c r="N139" s="12" t="s">
        <v>368</v>
      </c>
      <c r="O139" s="12" t="str">
        <f>IF(TabelaRespostas[[#This Row],[Momento do Envio]]&gt;=1,"SIM","NÃO")</f>
        <v>SIM</v>
      </c>
      <c r="P139" s="12" t="s">
        <v>896</v>
      </c>
      <c r="Q139" s="14"/>
    </row>
    <row r="140" spans="1:17" ht="15" customHeight="1" x14ac:dyDescent="0.3">
      <c r="A140" s="15">
        <v>46269.354861111111</v>
      </c>
      <c r="B140" s="12" t="s">
        <v>455</v>
      </c>
      <c r="C140" s="12" t="s">
        <v>457</v>
      </c>
      <c r="D140" s="12"/>
      <c r="E140" s="12" t="s">
        <v>848</v>
      </c>
      <c r="F140" s="13"/>
      <c r="G140" s="12" t="s">
        <v>848</v>
      </c>
      <c r="H140" s="13"/>
      <c r="I140" s="12" t="s">
        <v>848</v>
      </c>
      <c r="J140" s="13"/>
      <c r="K140" s="12" t="s">
        <v>848</v>
      </c>
      <c r="L140" s="13"/>
      <c r="M140" s="12" t="s">
        <v>460</v>
      </c>
      <c r="N140" s="12" t="s">
        <v>828</v>
      </c>
      <c r="O140" s="12" t="str">
        <f>IF(TabelaRespostas[[#This Row],[Momento do Envio]]&gt;=1,"SIM","NÃO")</f>
        <v>SIM</v>
      </c>
      <c r="P140" s="12" t="s">
        <v>897</v>
      </c>
      <c r="Q140" s="14"/>
    </row>
    <row r="141" spans="1:17" ht="15" customHeight="1" x14ac:dyDescent="0.3">
      <c r="A141" s="15">
        <v>46269.354861111111</v>
      </c>
      <c r="B141" s="12" t="s">
        <v>455</v>
      </c>
      <c r="C141" s="12" t="s">
        <v>460</v>
      </c>
      <c r="D141" s="12"/>
      <c r="E141" s="12" t="s">
        <v>848</v>
      </c>
      <c r="F141" s="13"/>
      <c r="G141" s="12" t="s">
        <v>848</v>
      </c>
      <c r="H141" s="13"/>
      <c r="I141" s="12" t="s">
        <v>848</v>
      </c>
      <c r="J141" s="13"/>
      <c r="K141" s="12" t="s">
        <v>848</v>
      </c>
      <c r="L141" s="13"/>
      <c r="M141" s="12" t="s">
        <v>457</v>
      </c>
      <c r="N141" s="12" t="s">
        <v>544</v>
      </c>
      <c r="O141" s="12" t="str">
        <f>IF(TabelaRespostas[[#This Row],[Momento do Envio]]&gt;=1,"SIM","NÃO")</f>
        <v>SIM</v>
      </c>
      <c r="P141" s="12" t="s">
        <v>897</v>
      </c>
      <c r="Q141" s="14"/>
    </row>
    <row r="142" spans="1:17" ht="15" customHeight="1" x14ac:dyDescent="0.3">
      <c r="A142" s="15">
        <v>46269.425694444442</v>
      </c>
      <c r="B142" s="12" t="s">
        <v>397</v>
      </c>
      <c r="C142" s="12" t="s">
        <v>401</v>
      </c>
      <c r="D142" s="12"/>
      <c r="E142" s="12" t="s">
        <v>848</v>
      </c>
      <c r="F142" s="13"/>
      <c r="G142" s="12" t="s">
        <v>848</v>
      </c>
      <c r="H142" s="13"/>
      <c r="I142" s="12" t="s">
        <v>848</v>
      </c>
      <c r="J142" s="13"/>
      <c r="K142" s="12" t="s">
        <v>848</v>
      </c>
      <c r="L142" s="13"/>
      <c r="M142" s="12" t="s">
        <v>404</v>
      </c>
      <c r="N142" s="12" t="s">
        <v>413</v>
      </c>
      <c r="O142" s="12" t="str">
        <f>IF(TabelaRespostas[[#This Row],[Momento do Envio]]&gt;=1,"SIM","NÃO")</f>
        <v>SIM</v>
      </c>
      <c r="P142" s="12" t="s">
        <v>898</v>
      </c>
      <c r="Q142" s="14"/>
    </row>
    <row r="143" spans="1:17" ht="15" customHeight="1" x14ac:dyDescent="0.3">
      <c r="A143" s="15">
        <v>46269.425694444442</v>
      </c>
      <c r="B143" s="12" t="s">
        <v>397</v>
      </c>
      <c r="C143" s="12" t="s">
        <v>401</v>
      </c>
      <c r="D143" s="12"/>
      <c r="E143" s="12" t="s">
        <v>848</v>
      </c>
      <c r="F143" s="13"/>
      <c r="G143" s="12" t="s">
        <v>848</v>
      </c>
      <c r="H143" s="13"/>
      <c r="I143" s="12" t="s">
        <v>848</v>
      </c>
      <c r="J143" s="13"/>
      <c r="K143" s="12" t="s">
        <v>848</v>
      </c>
      <c r="L143" s="13"/>
      <c r="M143" s="12" t="s">
        <v>404</v>
      </c>
      <c r="N143" s="12" t="s">
        <v>413</v>
      </c>
      <c r="O143" s="12" t="str">
        <f>IF(TabelaRespostas[[#This Row],[Momento do Envio]]&gt;=1,"SIM","NÃO")</f>
        <v>SIM</v>
      </c>
      <c r="P143" s="12" t="s">
        <v>898</v>
      </c>
      <c r="Q143" s="14"/>
    </row>
    <row r="144" spans="1:17" ht="15" customHeight="1" x14ac:dyDescent="0.3">
      <c r="A144" s="15">
        <v>46269.425694444442</v>
      </c>
      <c r="B144" s="12" t="s">
        <v>397</v>
      </c>
      <c r="C144" s="12" t="s">
        <v>401</v>
      </c>
      <c r="D144" s="12"/>
      <c r="E144" s="12" t="s">
        <v>848</v>
      </c>
      <c r="F144" s="13"/>
      <c r="G144" s="12" t="s">
        <v>848</v>
      </c>
      <c r="H144" s="13"/>
      <c r="I144" s="12" t="s">
        <v>848</v>
      </c>
      <c r="J144" s="13"/>
      <c r="K144" s="12" t="s">
        <v>848</v>
      </c>
      <c r="L144" s="13"/>
      <c r="M144" s="12" t="s">
        <v>404</v>
      </c>
      <c r="N144" s="12" t="s">
        <v>413</v>
      </c>
      <c r="O144" s="12" t="str">
        <f>IF(TabelaRespostas[[#This Row],[Momento do Envio]]&gt;=1,"SIM","NÃO")</f>
        <v>SIM</v>
      </c>
      <c r="P144" s="12" t="s">
        <v>898</v>
      </c>
      <c r="Q144" s="14"/>
    </row>
    <row r="145" spans="1:17" ht="15" customHeight="1" x14ac:dyDescent="0.3">
      <c r="A145" s="15">
        <v>46269.425694444442</v>
      </c>
      <c r="B145" s="12" t="s">
        <v>397</v>
      </c>
      <c r="C145" s="12" t="s">
        <v>404</v>
      </c>
      <c r="D145" s="12"/>
      <c r="E145" s="12" t="s">
        <v>848</v>
      </c>
      <c r="F145" s="13"/>
      <c r="G145" s="12" t="s">
        <v>848</v>
      </c>
      <c r="H145" s="13"/>
      <c r="I145" s="12" t="s">
        <v>848</v>
      </c>
      <c r="J145" s="13"/>
      <c r="K145" s="12" t="s">
        <v>848</v>
      </c>
      <c r="L145" s="13"/>
      <c r="M145" s="12" t="s">
        <v>401</v>
      </c>
      <c r="N145" s="12" t="s">
        <v>410</v>
      </c>
      <c r="O145" s="12" t="str">
        <f>IF(TabelaRespostas[[#This Row],[Momento do Envio]]&gt;=1,"SIM","NÃO")</f>
        <v>SIM</v>
      </c>
      <c r="P145" s="12" t="s">
        <v>898</v>
      </c>
      <c r="Q145" s="14"/>
    </row>
    <row r="146" spans="1:17" ht="15" customHeight="1" x14ac:dyDescent="0.3">
      <c r="A146" s="15">
        <v>46269.425694444442</v>
      </c>
      <c r="B146" s="12" t="s">
        <v>397</v>
      </c>
      <c r="C146" s="12" t="s">
        <v>404</v>
      </c>
      <c r="D146" s="12"/>
      <c r="E146" s="12" t="s">
        <v>848</v>
      </c>
      <c r="F146" s="13"/>
      <c r="G146" s="12" t="s">
        <v>848</v>
      </c>
      <c r="H146" s="13"/>
      <c r="I146" s="12" t="s">
        <v>848</v>
      </c>
      <c r="J146" s="13"/>
      <c r="K146" s="12" t="s">
        <v>848</v>
      </c>
      <c r="L146" s="13"/>
      <c r="M146" s="12" t="s">
        <v>401</v>
      </c>
      <c r="N146" s="12" t="s">
        <v>410</v>
      </c>
      <c r="O146" s="12" t="str">
        <f>IF(TabelaRespostas[[#This Row],[Momento do Envio]]&gt;=1,"SIM","NÃO")</f>
        <v>SIM</v>
      </c>
      <c r="P146" s="12" t="s">
        <v>898</v>
      </c>
      <c r="Q146" s="14"/>
    </row>
    <row r="147" spans="1:17" ht="15" customHeight="1" x14ac:dyDescent="0.3">
      <c r="A147" s="15">
        <v>46269.425694444442</v>
      </c>
      <c r="B147" s="12" t="s">
        <v>397</v>
      </c>
      <c r="C147" s="12" t="s">
        <v>404</v>
      </c>
      <c r="D147" s="12"/>
      <c r="E147" s="12" t="s">
        <v>848</v>
      </c>
      <c r="F147" s="13"/>
      <c r="G147" s="12" t="s">
        <v>848</v>
      </c>
      <c r="H147" s="13"/>
      <c r="I147" s="12" t="s">
        <v>848</v>
      </c>
      <c r="J147" s="13"/>
      <c r="K147" s="12" t="s">
        <v>848</v>
      </c>
      <c r="L147" s="13"/>
      <c r="M147" s="12" t="s">
        <v>401</v>
      </c>
      <c r="N147" s="12" t="s">
        <v>410</v>
      </c>
      <c r="O147" s="12" t="str">
        <f>IF(TabelaRespostas[[#This Row],[Momento do Envio]]&gt;=1,"SIM","NÃO")</f>
        <v>SIM</v>
      </c>
      <c r="P147" s="12" t="s">
        <v>898</v>
      </c>
      <c r="Q147" s="14"/>
    </row>
    <row r="148" spans="1:17" ht="15" customHeight="1" x14ac:dyDescent="0.3">
      <c r="A148" s="15">
        <v>46269.425694444442</v>
      </c>
      <c r="B148" s="12" t="s">
        <v>397</v>
      </c>
      <c r="C148" s="12" t="s">
        <v>407</v>
      </c>
      <c r="D148" s="12"/>
      <c r="E148" s="12" t="s">
        <v>848</v>
      </c>
      <c r="F148" s="13"/>
      <c r="G148" s="12" t="s">
        <v>848</v>
      </c>
      <c r="H148" s="13"/>
      <c r="I148" s="12" t="s">
        <v>848</v>
      </c>
      <c r="J148" s="13"/>
      <c r="K148" s="12" t="s">
        <v>848</v>
      </c>
      <c r="L148" s="13"/>
      <c r="M148" s="12" t="s">
        <v>401</v>
      </c>
      <c r="N148" s="12" t="s">
        <v>404</v>
      </c>
      <c r="O148" s="12" t="str">
        <f>IF(TabelaRespostas[[#This Row],[Momento do Envio]]&gt;=1,"SIM","NÃO")</f>
        <v>SIM</v>
      </c>
      <c r="P148" s="12" t="s">
        <v>898</v>
      </c>
      <c r="Q148" s="14"/>
    </row>
    <row r="149" spans="1:17" ht="15" customHeight="1" x14ac:dyDescent="0.3">
      <c r="A149" s="15">
        <v>46269.425694444442</v>
      </c>
      <c r="B149" s="12" t="s">
        <v>397</v>
      </c>
      <c r="C149" s="12" t="s">
        <v>407</v>
      </c>
      <c r="D149" s="12"/>
      <c r="E149" s="12" t="s">
        <v>848</v>
      </c>
      <c r="F149" s="13"/>
      <c r="G149" s="12" t="s">
        <v>848</v>
      </c>
      <c r="H149" s="13"/>
      <c r="I149" s="12" t="s">
        <v>848</v>
      </c>
      <c r="J149" s="13"/>
      <c r="K149" s="12" t="s">
        <v>848</v>
      </c>
      <c r="L149" s="13"/>
      <c r="M149" s="12" t="s">
        <v>401</v>
      </c>
      <c r="N149" s="12" t="s">
        <v>404</v>
      </c>
      <c r="O149" s="12" t="str">
        <f>IF(TabelaRespostas[[#This Row],[Momento do Envio]]&gt;=1,"SIM","NÃO")</f>
        <v>SIM</v>
      </c>
      <c r="P149" s="12" t="s">
        <v>898</v>
      </c>
      <c r="Q149" s="14"/>
    </row>
    <row r="150" spans="1:17" ht="15" customHeight="1" x14ac:dyDescent="0.3">
      <c r="A150" s="15">
        <v>46269.425694444442</v>
      </c>
      <c r="B150" s="12" t="s">
        <v>397</v>
      </c>
      <c r="C150" s="12" t="s">
        <v>407</v>
      </c>
      <c r="D150" s="12"/>
      <c r="E150" s="12" t="s">
        <v>848</v>
      </c>
      <c r="F150" s="13"/>
      <c r="G150" s="12" t="s">
        <v>848</v>
      </c>
      <c r="H150" s="13"/>
      <c r="I150" s="12" t="s">
        <v>848</v>
      </c>
      <c r="J150" s="13"/>
      <c r="K150" s="12" t="s">
        <v>848</v>
      </c>
      <c r="L150" s="13"/>
      <c r="M150" s="12" t="s">
        <v>401</v>
      </c>
      <c r="N150" s="12" t="s">
        <v>404</v>
      </c>
      <c r="O150" s="12" t="str">
        <f>IF(TabelaRespostas[[#This Row],[Momento do Envio]]&gt;=1,"SIM","NÃO")</f>
        <v>SIM</v>
      </c>
      <c r="P150" s="12" t="s">
        <v>898</v>
      </c>
      <c r="Q150" s="14"/>
    </row>
    <row r="151" spans="1:17" ht="15" customHeight="1" x14ac:dyDescent="0.3">
      <c r="A151" s="15">
        <v>46269.425694444442</v>
      </c>
      <c r="B151" s="12" t="s">
        <v>397</v>
      </c>
      <c r="C151" s="12" t="s">
        <v>410</v>
      </c>
      <c r="D151" s="12"/>
      <c r="E151" s="12" t="s">
        <v>848</v>
      </c>
      <c r="F151" s="13"/>
      <c r="G151" s="12" t="s">
        <v>848</v>
      </c>
      <c r="H151" s="13"/>
      <c r="I151" s="12" t="s">
        <v>848</v>
      </c>
      <c r="J151" s="13"/>
      <c r="K151" s="12" t="s">
        <v>848</v>
      </c>
      <c r="L151" s="13"/>
      <c r="M151" s="12" t="s">
        <v>413</v>
      </c>
      <c r="N151" s="12" t="s">
        <v>404</v>
      </c>
      <c r="O151" s="12" t="str">
        <f>IF(TabelaRespostas[[#This Row],[Momento do Envio]]&gt;=1,"SIM","NÃO")</f>
        <v>SIM</v>
      </c>
      <c r="P151" s="12" t="s">
        <v>898</v>
      </c>
      <c r="Q151" s="14"/>
    </row>
    <row r="152" spans="1:17" ht="15" customHeight="1" x14ac:dyDescent="0.3">
      <c r="A152" s="15">
        <v>46269.425694444442</v>
      </c>
      <c r="B152" s="12" t="s">
        <v>397</v>
      </c>
      <c r="C152" s="12" t="s">
        <v>410</v>
      </c>
      <c r="D152" s="12"/>
      <c r="E152" s="12" t="s">
        <v>848</v>
      </c>
      <c r="F152" s="13"/>
      <c r="G152" s="12" t="s">
        <v>848</v>
      </c>
      <c r="H152" s="13"/>
      <c r="I152" s="12" t="s">
        <v>848</v>
      </c>
      <c r="J152" s="13"/>
      <c r="K152" s="12" t="s">
        <v>848</v>
      </c>
      <c r="L152" s="13"/>
      <c r="M152" s="12" t="s">
        <v>413</v>
      </c>
      <c r="N152" s="12" t="s">
        <v>404</v>
      </c>
      <c r="O152" s="12" t="str">
        <f>IF(TabelaRespostas[[#This Row],[Momento do Envio]]&gt;=1,"SIM","NÃO")</f>
        <v>SIM</v>
      </c>
      <c r="P152" s="12" t="s">
        <v>898</v>
      </c>
      <c r="Q152" s="14"/>
    </row>
    <row r="153" spans="1:17" ht="15" customHeight="1" x14ac:dyDescent="0.3">
      <c r="A153" s="15">
        <v>46269.425694444442</v>
      </c>
      <c r="B153" s="12" t="s">
        <v>397</v>
      </c>
      <c r="C153" s="12" t="s">
        <v>410</v>
      </c>
      <c r="D153" s="12"/>
      <c r="E153" s="12" t="s">
        <v>848</v>
      </c>
      <c r="F153" s="13"/>
      <c r="G153" s="12" t="s">
        <v>848</v>
      </c>
      <c r="H153" s="13"/>
      <c r="I153" s="12" t="s">
        <v>848</v>
      </c>
      <c r="J153" s="13"/>
      <c r="K153" s="12" t="s">
        <v>848</v>
      </c>
      <c r="L153" s="13"/>
      <c r="M153" s="12" t="s">
        <v>413</v>
      </c>
      <c r="N153" s="12" t="s">
        <v>404</v>
      </c>
      <c r="O153" s="12" t="str">
        <f>IF(TabelaRespostas[[#This Row],[Momento do Envio]]&gt;=1,"SIM","NÃO")</f>
        <v>SIM</v>
      </c>
      <c r="P153" s="12" t="s">
        <v>898</v>
      </c>
      <c r="Q153" s="14"/>
    </row>
    <row r="154" spans="1:17" ht="15" customHeight="1" x14ac:dyDescent="0.3">
      <c r="A154" s="15">
        <v>46269.425694444442</v>
      </c>
      <c r="B154" s="12" t="s">
        <v>397</v>
      </c>
      <c r="C154" s="12" t="s">
        <v>413</v>
      </c>
      <c r="D154" s="12"/>
      <c r="E154" s="12" t="s">
        <v>848</v>
      </c>
      <c r="F154" s="13"/>
      <c r="G154" s="12" t="s">
        <v>848</v>
      </c>
      <c r="H154" s="13"/>
      <c r="I154" s="12" t="s">
        <v>848</v>
      </c>
      <c r="J154" s="13"/>
      <c r="K154" s="12" t="s">
        <v>848</v>
      </c>
      <c r="L154" s="13"/>
      <c r="M154" s="12" t="s">
        <v>401</v>
      </c>
      <c r="N154" s="12" t="s">
        <v>407</v>
      </c>
      <c r="O154" s="12" t="str">
        <f>IF(TabelaRespostas[[#This Row],[Momento do Envio]]&gt;=1,"SIM","NÃO")</f>
        <v>SIM</v>
      </c>
      <c r="P154" s="12" t="s">
        <v>898</v>
      </c>
      <c r="Q154" s="14"/>
    </row>
    <row r="155" spans="1:17" ht="15" customHeight="1" x14ac:dyDescent="0.3">
      <c r="A155" s="15">
        <v>46269.425694444442</v>
      </c>
      <c r="B155" s="12" t="s">
        <v>397</v>
      </c>
      <c r="C155" s="12" t="s">
        <v>413</v>
      </c>
      <c r="D155" s="12"/>
      <c r="E155" s="12" t="s">
        <v>848</v>
      </c>
      <c r="F155" s="13"/>
      <c r="G155" s="12" t="s">
        <v>848</v>
      </c>
      <c r="H155" s="13"/>
      <c r="I155" s="12" t="s">
        <v>848</v>
      </c>
      <c r="J155" s="13"/>
      <c r="K155" s="12" t="s">
        <v>848</v>
      </c>
      <c r="L155" s="13"/>
      <c r="M155" s="12" t="s">
        <v>401</v>
      </c>
      <c r="N155" s="12" t="s">
        <v>407</v>
      </c>
      <c r="O155" s="12" t="str">
        <f>IF(TabelaRespostas[[#This Row],[Momento do Envio]]&gt;=1,"SIM","NÃO")</f>
        <v>SIM</v>
      </c>
      <c r="P155" s="12" t="s">
        <v>898</v>
      </c>
      <c r="Q155" s="14"/>
    </row>
    <row r="156" spans="1:17" ht="15" customHeight="1" x14ac:dyDescent="0.3">
      <c r="A156" s="15">
        <v>46269.425694444442</v>
      </c>
      <c r="B156" s="12" t="s">
        <v>397</v>
      </c>
      <c r="C156" s="12" t="s">
        <v>413</v>
      </c>
      <c r="D156" s="12"/>
      <c r="E156" s="12" t="s">
        <v>848</v>
      </c>
      <c r="F156" s="13"/>
      <c r="G156" s="12" t="s">
        <v>848</v>
      </c>
      <c r="H156" s="13"/>
      <c r="I156" s="12" t="s">
        <v>848</v>
      </c>
      <c r="J156" s="13"/>
      <c r="K156" s="12" t="s">
        <v>848</v>
      </c>
      <c r="L156" s="13"/>
      <c r="M156" s="12" t="s">
        <v>401</v>
      </c>
      <c r="N156" s="12" t="s">
        <v>407</v>
      </c>
      <c r="O156" s="12" t="str">
        <f>IF(TabelaRespostas[[#This Row],[Momento do Envio]]&gt;=1,"SIM","NÃO")</f>
        <v>SIM</v>
      </c>
      <c r="P156" s="12" t="s">
        <v>898</v>
      </c>
      <c r="Q156" s="14"/>
    </row>
    <row r="157" spans="1:17" ht="15" customHeight="1" x14ac:dyDescent="0.3">
      <c r="A157" s="15">
        <v>46269.442361111112</v>
      </c>
      <c r="B157" s="12" t="s">
        <v>520</v>
      </c>
      <c r="C157" s="12" t="s">
        <v>523</v>
      </c>
      <c r="D157" s="12"/>
      <c r="E157" s="12" t="s">
        <v>848</v>
      </c>
      <c r="F157" s="13"/>
      <c r="G157" s="12" t="s">
        <v>848</v>
      </c>
      <c r="H157" s="13"/>
      <c r="I157" s="12" t="s">
        <v>848</v>
      </c>
      <c r="J157" s="13"/>
      <c r="K157" s="12" t="s">
        <v>848</v>
      </c>
      <c r="L157" s="13"/>
      <c r="M157" s="12" t="s">
        <v>530</v>
      </c>
      <c r="N157" s="12" t="s">
        <v>533</v>
      </c>
      <c r="O157" s="12" t="str">
        <f>IF(TabelaRespostas[[#This Row],[Momento do Envio]]&gt;=1,"SIM","NÃO")</f>
        <v>SIM</v>
      </c>
      <c r="P157" s="12" t="s">
        <v>899</v>
      </c>
      <c r="Q157" s="14"/>
    </row>
    <row r="158" spans="1:17" ht="15" customHeight="1" x14ac:dyDescent="0.3">
      <c r="A158" s="15">
        <v>46269.442361111112</v>
      </c>
      <c r="B158" s="12" t="s">
        <v>520</v>
      </c>
      <c r="C158" s="12" t="s">
        <v>527</v>
      </c>
      <c r="D158" s="12"/>
      <c r="E158" s="12" t="s">
        <v>848</v>
      </c>
      <c r="F158" s="13"/>
      <c r="G158" s="12" t="s">
        <v>848</v>
      </c>
      <c r="H158" s="13"/>
      <c r="I158" s="12" t="s">
        <v>848</v>
      </c>
      <c r="J158" s="13"/>
      <c r="K158" s="12" t="s">
        <v>848</v>
      </c>
      <c r="L158" s="13"/>
      <c r="M158" s="12" t="s">
        <v>523</v>
      </c>
      <c r="N158" s="12" t="s">
        <v>549</v>
      </c>
      <c r="O158" s="12" t="str">
        <f>IF(TabelaRespostas[[#This Row],[Momento do Envio]]&gt;=1,"SIM","NÃO")</f>
        <v>SIM</v>
      </c>
      <c r="P158" s="12" t="s">
        <v>899</v>
      </c>
      <c r="Q158" s="14"/>
    </row>
    <row r="159" spans="1:17" ht="15" customHeight="1" x14ac:dyDescent="0.3">
      <c r="A159" s="15">
        <v>46269.442361111112</v>
      </c>
      <c r="B159" s="12" t="s">
        <v>520</v>
      </c>
      <c r="C159" s="12" t="s">
        <v>530</v>
      </c>
      <c r="D159" s="12"/>
      <c r="E159" s="12" t="s">
        <v>848</v>
      </c>
      <c r="F159" s="13"/>
      <c r="G159" s="12" t="s">
        <v>848</v>
      </c>
      <c r="H159" s="13"/>
      <c r="I159" s="12" t="s">
        <v>848</v>
      </c>
      <c r="J159" s="13"/>
      <c r="K159" s="12" t="s">
        <v>848</v>
      </c>
      <c r="L159" s="13"/>
      <c r="M159" s="12" t="s">
        <v>523</v>
      </c>
      <c r="N159" s="12" t="s">
        <v>535</v>
      </c>
      <c r="O159" s="12" t="str">
        <f>IF(TabelaRespostas[[#This Row],[Momento do Envio]]&gt;=1,"SIM","NÃO")</f>
        <v>SIM</v>
      </c>
      <c r="P159" s="12" t="s">
        <v>899</v>
      </c>
      <c r="Q159" s="14"/>
    </row>
    <row r="160" spans="1:17" ht="15" customHeight="1" x14ac:dyDescent="0.3">
      <c r="A160" s="15">
        <v>46269.442361111112</v>
      </c>
      <c r="B160" s="12" t="s">
        <v>520</v>
      </c>
      <c r="C160" s="12" t="s">
        <v>533</v>
      </c>
      <c r="D160" s="12"/>
      <c r="E160" s="12" t="s">
        <v>848</v>
      </c>
      <c r="F160" s="13"/>
      <c r="G160" s="12" t="s">
        <v>848</v>
      </c>
      <c r="H160" s="13"/>
      <c r="I160" s="12" t="s">
        <v>848</v>
      </c>
      <c r="J160" s="13"/>
      <c r="K160" s="12" t="s">
        <v>848</v>
      </c>
      <c r="L160" s="13"/>
      <c r="M160" s="12" t="s">
        <v>538</v>
      </c>
      <c r="N160" s="12" t="s">
        <v>542</v>
      </c>
      <c r="O160" s="12" t="str">
        <f>IF(TabelaRespostas[[#This Row],[Momento do Envio]]&gt;=1,"SIM","NÃO")</f>
        <v>SIM</v>
      </c>
      <c r="P160" s="12" t="s">
        <v>899</v>
      </c>
      <c r="Q160" s="14"/>
    </row>
    <row r="161" spans="1:17" ht="15" customHeight="1" x14ac:dyDescent="0.3">
      <c r="A161" s="15">
        <v>46269.442361111112</v>
      </c>
      <c r="B161" s="12" t="s">
        <v>520</v>
      </c>
      <c r="C161" s="12" t="s">
        <v>535</v>
      </c>
      <c r="D161" s="12"/>
      <c r="E161" s="12" t="s">
        <v>848</v>
      </c>
      <c r="F161" s="13"/>
      <c r="G161" s="12" t="s">
        <v>848</v>
      </c>
      <c r="H161" s="13"/>
      <c r="I161" s="12" t="s">
        <v>848</v>
      </c>
      <c r="J161" s="13"/>
      <c r="K161" s="12" t="s">
        <v>848</v>
      </c>
      <c r="L161" s="13"/>
      <c r="M161" s="12" t="s">
        <v>530</v>
      </c>
      <c r="N161" s="12" t="s">
        <v>533</v>
      </c>
      <c r="O161" s="12" t="str">
        <f>IF(TabelaRespostas[[#This Row],[Momento do Envio]]&gt;=1,"SIM","NÃO")</f>
        <v>SIM</v>
      </c>
      <c r="P161" s="12" t="s">
        <v>899</v>
      </c>
      <c r="Q161" s="14"/>
    </row>
    <row r="162" spans="1:17" ht="15" customHeight="1" x14ac:dyDescent="0.3">
      <c r="A162" s="15">
        <v>46269.442361111112</v>
      </c>
      <c r="B162" s="12" t="s">
        <v>520</v>
      </c>
      <c r="C162" s="12" t="s">
        <v>538</v>
      </c>
      <c r="D162" s="12"/>
      <c r="E162" s="12" t="s">
        <v>848</v>
      </c>
      <c r="F162" s="13"/>
      <c r="G162" s="12" t="s">
        <v>848</v>
      </c>
      <c r="H162" s="13"/>
      <c r="I162" s="12" t="s">
        <v>848</v>
      </c>
      <c r="J162" s="13"/>
      <c r="K162" s="12" t="s">
        <v>848</v>
      </c>
      <c r="L162" s="13"/>
      <c r="M162" s="12" t="s">
        <v>547</v>
      </c>
      <c r="N162" s="12" t="s">
        <v>523</v>
      </c>
      <c r="O162" s="12" t="str">
        <f>IF(TabelaRespostas[[#This Row],[Momento do Envio]]&gt;=1,"SIM","NÃO")</f>
        <v>SIM</v>
      </c>
      <c r="P162" s="12" t="s">
        <v>899</v>
      </c>
      <c r="Q162" s="14"/>
    </row>
    <row r="163" spans="1:17" ht="15" customHeight="1" x14ac:dyDescent="0.3">
      <c r="A163" s="15">
        <v>46269.442361111112</v>
      </c>
      <c r="B163" s="12" t="s">
        <v>520</v>
      </c>
      <c r="C163" s="12" t="s">
        <v>540</v>
      </c>
      <c r="D163" s="12"/>
      <c r="E163" s="12" t="s">
        <v>848</v>
      </c>
      <c r="F163" s="13"/>
      <c r="G163" s="12" t="s">
        <v>848</v>
      </c>
      <c r="H163" s="13"/>
      <c r="I163" s="12" t="s">
        <v>848</v>
      </c>
      <c r="J163" s="13"/>
      <c r="K163" s="12" t="s">
        <v>848</v>
      </c>
      <c r="L163" s="13"/>
      <c r="M163" s="12" t="s">
        <v>544</v>
      </c>
      <c r="N163" s="12" t="s">
        <v>542</v>
      </c>
      <c r="O163" s="12" t="str">
        <f>IF(TabelaRespostas[[#This Row],[Momento do Envio]]&gt;=1,"SIM","NÃO")</f>
        <v>SIM</v>
      </c>
      <c r="P163" s="12" t="s">
        <v>899</v>
      </c>
      <c r="Q163" s="14"/>
    </row>
    <row r="164" spans="1:17" ht="15" customHeight="1" x14ac:dyDescent="0.3">
      <c r="A164" s="15">
        <v>46269.442361111112</v>
      </c>
      <c r="B164" s="12" t="s">
        <v>520</v>
      </c>
      <c r="C164" s="12" t="s">
        <v>542</v>
      </c>
      <c r="D164" s="12"/>
      <c r="E164" s="12" t="s">
        <v>848</v>
      </c>
      <c r="F164" s="13"/>
      <c r="G164" s="12" t="s">
        <v>848</v>
      </c>
      <c r="H164" s="13"/>
      <c r="I164" s="12" t="s">
        <v>848</v>
      </c>
      <c r="J164" s="13"/>
      <c r="K164" s="12" t="s">
        <v>848</v>
      </c>
      <c r="L164" s="13"/>
      <c r="M164" s="12" t="s">
        <v>535</v>
      </c>
      <c r="N164" s="12" t="s">
        <v>523</v>
      </c>
      <c r="O164" s="12" t="str">
        <f>IF(TabelaRespostas[[#This Row],[Momento do Envio]]&gt;=1,"SIM","NÃO")</f>
        <v>SIM</v>
      </c>
      <c r="P164" s="12" t="s">
        <v>899</v>
      </c>
      <c r="Q164" s="14"/>
    </row>
    <row r="165" spans="1:17" ht="15" customHeight="1" x14ac:dyDescent="0.3">
      <c r="A165" s="15">
        <v>46269.442361111112</v>
      </c>
      <c r="B165" s="12" t="s">
        <v>520</v>
      </c>
      <c r="C165" s="12" t="s">
        <v>544</v>
      </c>
      <c r="D165" s="12"/>
      <c r="E165" s="12" t="s">
        <v>848</v>
      </c>
      <c r="F165" s="13"/>
      <c r="G165" s="12" t="s">
        <v>848</v>
      </c>
      <c r="H165" s="13"/>
      <c r="I165" s="12" t="s">
        <v>848</v>
      </c>
      <c r="J165" s="13"/>
      <c r="K165" s="12" t="s">
        <v>848</v>
      </c>
      <c r="L165" s="13"/>
      <c r="M165" s="12" t="s">
        <v>540</v>
      </c>
      <c r="N165" s="12" t="s">
        <v>542</v>
      </c>
      <c r="O165" s="12" t="str">
        <f>IF(TabelaRespostas[[#This Row],[Momento do Envio]]&gt;=1,"SIM","NÃO")</f>
        <v>SIM</v>
      </c>
      <c r="P165" s="12" t="s">
        <v>899</v>
      </c>
      <c r="Q165" s="14"/>
    </row>
    <row r="166" spans="1:17" ht="15" customHeight="1" x14ac:dyDescent="0.3">
      <c r="A166" s="15">
        <v>46269.442361111112</v>
      </c>
      <c r="B166" s="12" t="s">
        <v>520</v>
      </c>
      <c r="C166" s="12" t="s">
        <v>547</v>
      </c>
      <c r="D166" s="12"/>
      <c r="E166" s="12" t="s">
        <v>848</v>
      </c>
      <c r="F166" s="13"/>
      <c r="G166" s="12" t="s">
        <v>848</v>
      </c>
      <c r="H166" s="13"/>
      <c r="I166" s="12" t="s">
        <v>848</v>
      </c>
      <c r="J166" s="13"/>
      <c r="K166" s="12" t="s">
        <v>848</v>
      </c>
      <c r="L166" s="13"/>
      <c r="M166" s="12" t="s">
        <v>533</v>
      </c>
      <c r="N166" s="12" t="s">
        <v>538</v>
      </c>
      <c r="O166" s="12" t="str">
        <f>IF(TabelaRespostas[[#This Row],[Momento do Envio]]&gt;=1,"SIM","NÃO")</f>
        <v>SIM</v>
      </c>
      <c r="P166" s="12" t="s">
        <v>899</v>
      </c>
      <c r="Q166" s="14"/>
    </row>
    <row r="167" spans="1:17" ht="15" customHeight="1" x14ac:dyDescent="0.3">
      <c r="A167" s="15">
        <v>46269.442361111112</v>
      </c>
      <c r="B167" s="12" t="s">
        <v>520</v>
      </c>
      <c r="C167" s="12" t="s">
        <v>549</v>
      </c>
      <c r="D167" s="12"/>
      <c r="E167" s="12" t="s">
        <v>848</v>
      </c>
      <c r="F167" s="13"/>
      <c r="G167" s="12" t="s">
        <v>848</v>
      </c>
      <c r="H167" s="13"/>
      <c r="I167" s="12" t="s">
        <v>848</v>
      </c>
      <c r="J167" s="13"/>
      <c r="K167" s="12" t="s">
        <v>848</v>
      </c>
      <c r="L167" s="13"/>
      <c r="M167" s="12" t="s">
        <v>530</v>
      </c>
      <c r="N167" s="12" t="s">
        <v>542</v>
      </c>
      <c r="O167" s="12" t="str">
        <f>IF(TabelaRespostas[[#This Row],[Momento do Envio]]&gt;=1,"SIM","NÃO")</f>
        <v>SIM</v>
      </c>
      <c r="P167" s="12" t="s">
        <v>899</v>
      </c>
      <c r="Q167" s="14"/>
    </row>
    <row r="168" spans="1:17" ht="15" customHeight="1" x14ac:dyDescent="0.3">
      <c r="A168" s="15">
        <v>46269.615972222222</v>
      </c>
      <c r="B168" s="12" t="s">
        <v>643</v>
      </c>
      <c r="C168" s="12" t="s">
        <v>800</v>
      </c>
      <c r="D168" s="12"/>
      <c r="E168" s="12" t="s">
        <v>848</v>
      </c>
      <c r="F168" s="13"/>
      <c r="G168" s="12" t="s">
        <v>848</v>
      </c>
      <c r="H168" s="13"/>
      <c r="I168" s="12" t="s">
        <v>848</v>
      </c>
      <c r="J168" s="13"/>
      <c r="K168" s="12" t="s">
        <v>848</v>
      </c>
      <c r="L168" s="13"/>
      <c r="M168" s="12" t="s">
        <v>810</v>
      </c>
      <c r="N168" s="12" t="s">
        <v>826</v>
      </c>
      <c r="O168" s="12" t="str">
        <f>IF(TabelaRespostas[[#This Row],[Momento do Envio]]&gt;=1,"SIM","NÃO")</f>
        <v>SIM</v>
      </c>
      <c r="P168" s="12" t="s">
        <v>900</v>
      </c>
      <c r="Q168" s="14" t="s">
        <v>901</v>
      </c>
    </row>
    <row r="169" spans="1:17" ht="15" customHeight="1" x14ac:dyDescent="0.3">
      <c r="A169" s="15">
        <v>46269.615972222222</v>
      </c>
      <c r="B169" s="12" t="s">
        <v>643</v>
      </c>
      <c r="C169" s="12" t="s">
        <v>802</v>
      </c>
      <c r="D169" s="12"/>
      <c r="E169" s="12" t="s">
        <v>862</v>
      </c>
      <c r="F169" s="13" t="s">
        <v>520</v>
      </c>
      <c r="G169" s="12" t="s">
        <v>848</v>
      </c>
      <c r="H169" s="13"/>
      <c r="I169" s="12" t="s">
        <v>848</v>
      </c>
      <c r="J169" s="13"/>
      <c r="K169" s="12" t="s">
        <v>862</v>
      </c>
      <c r="L169" s="13"/>
      <c r="M169" s="12" t="s">
        <v>820</v>
      </c>
      <c r="N169" s="12" t="s">
        <v>822</v>
      </c>
      <c r="O169" s="12" t="str">
        <f>IF(TabelaRespostas[[#This Row],[Momento do Envio]]&gt;=1,"SIM","NÃO")</f>
        <v>SIM</v>
      </c>
      <c r="P169" s="12" t="s">
        <v>900</v>
      </c>
      <c r="Q169" s="14" t="s">
        <v>901</v>
      </c>
    </row>
    <row r="170" spans="1:17" ht="15" customHeight="1" x14ac:dyDescent="0.3">
      <c r="A170" s="15">
        <v>46269.615972222222</v>
      </c>
      <c r="B170" s="12" t="s">
        <v>643</v>
      </c>
      <c r="C170" s="12" t="s">
        <v>804</v>
      </c>
      <c r="D170" s="12"/>
      <c r="E170" s="12" t="s">
        <v>848</v>
      </c>
      <c r="F170" s="13"/>
      <c r="G170" s="12" t="s">
        <v>848</v>
      </c>
      <c r="H170" s="13"/>
      <c r="I170" s="12" t="s">
        <v>848</v>
      </c>
      <c r="J170" s="13"/>
      <c r="K170" s="12" t="s">
        <v>848</v>
      </c>
      <c r="L170" s="13"/>
      <c r="M170" s="12" t="s">
        <v>814</v>
      </c>
      <c r="N170" s="12" t="s">
        <v>816</v>
      </c>
      <c r="O170" s="12" t="str">
        <f>IF(TabelaRespostas[[#This Row],[Momento do Envio]]&gt;=1,"SIM","NÃO")</f>
        <v>SIM</v>
      </c>
      <c r="P170" s="12" t="s">
        <v>900</v>
      </c>
      <c r="Q170" s="14" t="s">
        <v>901</v>
      </c>
    </row>
    <row r="171" spans="1:17" ht="15" customHeight="1" x14ac:dyDescent="0.3">
      <c r="A171" s="15">
        <v>46269.615972222222</v>
      </c>
      <c r="B171" s="12" t="s">
        <v>643</v>
      </c>
      <c r="C171" s="12" t="s">
        <v>806</v>
      </c>
      <c r="D171" s="12"/>
      <c r="E171" s="12" t="s">
        <v>848</v>
      </c>
      <c r="F171" s="13"/>
      <c r="G171" s="12" t="s">
        <v>848</v>
      </c>
      <c r="H171" s="13"/>
      <c r="I171" s="12" t="s">
        <v>848</v>
      </c>
      <c r="J171" s="13"/>
      <c r="K171" s="12" t="s">
        <v>848</v>
      </c>
      <c r="L171" s="13"/>
      <c r="M171" s="12" t="s">
        <v>810</v>
      </c>
      <c r="N171" s="12" t="s">
        <v>808</v>
      </c>
      <c r="O171" s="12" t="str">
        <f>IF(TabelaRespostas[[#This Row],[Momento do Envio]]&gt;=1,"SIM","NÃO")</f>
        <v>SIM</v>
      </c>
      <c r="P171" s="12" t="s">
        <v>900</v>
      </c>
      <c r="Q171" s="14" t="s">
        <v>901</v>
      </c>
    </row>
    <row r="172" spans="1:17" ht="15" customHeight="1" x14ac:dyDescent="0.3">
      <c r="A172" s="15">
        <v>46269.615972222222</v>
      </c>
      <c r="B172" s="12" t="s">
        <v>643</v>
      </c>
      <c r="C172" s="12" t="s">
        <v>808</v>
      </c>
      <c r="D172" s="12"/>
      <c r="E172" s="12" t="s">
        <v>848</v>
      </c>
      <c r="F172" s="13"/>
      <c r="G172" s="12" t="s">
        <v>848</v>
      </c>
      <c r="H172" s="13"/>
      <c r="I172" s="12" t="s">
        <v>848</v>
      </c>
      <c r="J172" s="13"/>
      <c r="K172" s="12" t="s">
        <v>848</v>
      </c>
      <c r="L172" s="13"/>
      <c r="M172" s="12" t="s">
        <v>818</v>
      </c>
      <c r="N172" s="12" t="s">
        <v>810</v>
      </c>
      <c r="O172" s="12" t="str">
        <f>IF(TabelaRespostas[[#This Row],[Momento do Envio]]&gt;=1,"SIM","NÃO")</f>
        <v>SIM</v>
      </c>
      <c r="P172" s="12" t="s">
        <v>900</v>
      </c>
      <c r="Q172" s="14" t="s">
        <v>901</v>
      </c>
    </row>
    <row r="173" spans="1:17" ht="15" customHeight="1" x14ac:dyDescent="0.3">
      <c r="A173" s="15">
        <v>46269.615972222222</v>
      </c>
      <c r="B173" s="12" t="s">
        <v>643</v>
      </c>
      <c r="C173" s="12" t="s">
        <v>810</v>
      </c>
      <c r="D173" s="12"/>
      <c r="E173" s="12" t="s">
        <v>848</v>
      </c>
      <c r="F173" s="13"/>
      <c r="G173" s="12" t="s">
        <v>848</v>
      </c>
      <c r="H173" s="13"/>
      <c r="I173" s="12" t="s">
        <v>848</v>
      </c>
      <c r="J173" s="13"/>
      <c r="K173" s="12" t="s">
        <v>848</v>
      </c>
      <c r="L173" s="13"/>
      <c r="M173" s="12" t="s">
        <v>806</v>
      </c>
      <c r="N173" s="12" t="s">
        <v>818</v>
      </c>
      <c r="O173" s="12" t="str">
        <f>IF(TabelaRespostas[[#This Row],[Momento do Envio]]&gt;=1,"SIM","NÃO")</f>
        <v>SIM</v>
      </c>
      <c r="P173" s="12" t="s">
        <v>900</v>
      </c>
      <c r="Q173" s="14" t="s">
        <v>901</v>
      </c>
    </row>
    <row r="174" spans="1:17" ht="15" customHeight="1" x14ac:dyDescent="0.3">
      <c r="A174" s="15">
        <v>46269.615972222222</v>
      </c>
      <c r="B174" s="12" t="s">
        <v>643</v>
      </c>
      <c r="C174" s="12" t="s">
        <v>812</v>
      </c>
      <c r="D174" s="12"/>
      <c r="E174" s="12" t="s">
        <v>862</v>
      </c>
      <c r="F174" s="13" t="s">
        <v>287</v>
      </c>
      <c r="G174" s="12" t="s">
        <v>848</v>
      </c>
      <c r="H174" s="13"/>
      <c r="I174" s="12" t="s">
        <v>848</v>
      </c>
      <c r="J174" s="13"/>
      <c r="K174" s="12" t="s">
        <v>862</v>
      </c>
      <c r="L174" s="13"/>
      <c r="M174" s="12" t="s">
        <v>828</v>
      </c>
      <c r="N174" s="12" t="s">
        <v>802</v>
      </c>
      <c r="O174" s="12" t="str">
        <f>IF(TabelaRespostas[[#This Row],[Momento do Envio]]&gt;=1,"SIM","NÃO")</f>
        <v>SIM</v>
      </c>
      <c r="P174" s="12" t="s">
        <v>900</v>
      </c>
      <c r="Q174" s="14" t="s">
        <v>901</v>
      </c>
    </row>
    <row r="175" spans="1:17" ht="15" customHeight="1" x14ac:dyDescent="0.3">
      <c r="A175" s="15">
        <v>46269.615972222222</v>
      </c>
      <c r="B175" s="12" t="s">
        <v>643</v>
      </c>
      <c r="C175" s="12" t="s">
        <v>814</v>
      </c>
      <c r="D175" s="12"/>
      <c r="E175" s="12" t="s">
        <v>848</v>
      </c>
      <c r="F175" s="13"/>
      <c r="G175" s="12" t="s">
        <v>848</v>
      </c>
      <c r="H175" s="13"/>
      <c r="I175" s="12" t="s">
        <v>848</v>
      </c>
      <c r="J175" s="13"/>
      <c r="K175" s="12" t="s">
        <v>848</v>
      </c>
      <c r="L175" s="13"/>
      <c r="M175" s="12" t="s">
        <v>816</v>
      </c>
      <c r="N175" s="12" t="s">
        <v>826</v>
      </c>
      <c r="O175" s="12" t="str">
        <f>IF(TabelaRespostas[[#This Row],[Momento do Envio]]&gt;=1,"SIM","NÃO")</f>
        <v>SIM</v>
      </c>
      <c r="P175" s="12" t="s">
        <v>900</v>
      </c>
      <c r="Q175" s="14" t="s">
        <v>901</v>
      </c>
    </row>
    <row r="176" spans="1:17" ht="15" customHeight="1" x14ac:dyDescent="0.3">
      <c r="A176" s="15">
        <v>46269.615972222222</v>
      </c>
      <c r="B176" s="12" t="s">
        <v>643</v>
      </c>
      <c r="C176" s="12" t="s">
        <v>816</v>
      </c>
      <c r="D176" s="12"/>
      <c r="E176" s="12" t="s">
        <v>848</v>
      </c>
      <c r="F176" s="13"/>
      <c r="G176" s="12" t="s">
        <v>848</v>
      </c>
      <c r="H176" s="13"/>
      <c r="I176" s="12" t="s">
        <v>848</v>
      </c>
      <c r="J176" s="13"/>
      <c r="K176" s="12" t="s">
        <v>848</v>
      </c>
      <c r="L176" s="13"/>
      <c r="M176" s="12" t="s">
        <v>814</v>
      </c>
      <c r="N176" s="12" t="s">
        <v>820</v>
      </c>
      <c r="O176" s="12" t="str">
        <f>IF(TabelaRespostas[[#This Row],[Momento do Envio]]&gt;=1,"SIM","NÃO")</f>
        <v>SIM</v>
      </c>
      <c r="P176" s="12" t="s">
        <v>900</v>
      </c>
      <c r="Q176" s="14" t="s">
        <v>901</v>
      </c>
    </row>
    <row r="177" spans="1:17" ht="15" customHeight="1" x14ac:dyDescent="0.3">
      <c r="A177" s="15">
        <v>46269.615972222222</v>
      </c>
      <c r="B177" s="12" t="s">
        <v>643</v>
      </c>
      <c r="C177" s="12" t="s">
        <v>818</v>
      </c>
      <c r="D177" s="12"/>
      <c r="E177" s="12" t="s">
        <v>848</v>
      </c>
      <c r="F177" s="13"/>
      <c r="G177" s="12" t="s">
        <v>848</v>
      </c>
      <c r="H177" s="13"/>
      <c r="I177" s="12" t="s">
        <v>848</v>
      </c>
      <c r="J177" s="13"/>
      <c r="K177" s="12" t="s">
        <v>848</v>
      </c>
      <c r="L177" s="13"/>
      <c r="M177" s="12" t="s">
        <v>808</v>
      </c>
      <c r="N177" s="12" t="s">
        <v>820</v>
      </c>
      <c r="O177" s="12" t="str">
        <f>IF(TabelaRespostas[[#This Row],[Momento do Envio]]&gt;=1,"SIM","NÃO")</f>
        <v>SIM</v>
      </c>
      <c r="P177" s="12" t="s">
        <v>900</v>
      </c>
      <c r="Q177" s="14" t="s">
        <v>901</v>
      </c>
    </row>
    <row r="178" spans="1:17" ht="15" customHeight="1" x14ac:dyDescent="0.3">
      <c r="A178" s="15">
        <v>46269.615972222222</v>
      </c>
      <c r="B178" s="12" t="s">
        <v>643</v>
      </c>
      <c r="C178" s="12" t="s">
        <v>820</v>
      </c>
      <c r="D178" s="12"/>
      <c r="E178" s="12" t="s">
        <v>862</v>
      </c>
      <c r="F178" s="13" t="s">
        <v>520</v>
      </c>
      <c r="G178" s="12" t="s">
        <v>848</v>
      </c>
      <c r="H178" s="13"/>
      <c r="I178" s="12" t="s">
        <v>848</v>
      </c>
      <c r="J178" s="13"/>
      <c r="K178" s="12" t="s">
        <v>862</v>
      </c>
      <c r="L178" s="13"/>
      <c r="M178" s="12" t="s">
        <v>822</v>
      </c>
      <c r="N178" s="12" t="s">
        <v>818</v>
      </c>
      <c r="O178" s="12" t="str">
        <f>IF(TabelaRespostas[[#This Row],[Momento do Envio]]&gt;=1,"SIM","NÃO")</f>
        <v>SIM</v>
      </c>
      <c r="P178" s="12" t="s">
        <v>900</v>
      </c>
      <c r="Q178" s="14" t="s">
        <v>901</v>
      </c>
    </row>
    <row r="179" spans="1:17" ht="15" customHeight="1" x14ac:dyDescent="0.3">
      <c r="A179" s="15">
        <v>46269.615972222222</v>
      </c>
      <c r="B179" s="12" t="s">
        <v>643</v>
      </c>
      <c r="C179" s="12" t="s">
        <v>822</v>
      </c>
      <c r="D179" s="12"/>
      <c r="E179" s="12" t="s">
        <v>862</v>
      </c>
      <c r="F179" s="13" t="s">
        <v>520</v>
      </c>
      <c r="G179" s="12" t="s">
        <v>848</v>
      </c>
      <c r="H179" s="13"/>
      <c r="I179" s="12" t="s">
        <v>848</v>
      </c>
      <c r="J179" s="13"/>
      <c r="K179" s="12" t="s">
        <v>862</v>
      </c>
      <c r="L179" s="13"/>
      <c r="M179" s="12" t="s">
        <v>802</v>
      </c>
      <c r="N179" s="12" t="s">
        <v>820</v>
      </c>
      <c r="O179" s="12" t="str">
        <f>IF(TabelaRespostas[[#This Row],[Momento do Envio]]&gt;=1,"SIM","NÃO")</f>
        <v>SIM</v>
      </c>
      <c r="P179" s="12" t="s">
        <v>900</v>
      </c>
      <c r="Q179" s="14" t="s">
        <v>901</v>
      </c>
    </row>
    <row r="180" spans="1:17" ht="15" customHeight="1" x14ac:dyDescent="0.3">
      <c r="A180" s="15">
        <v>46269.615972222222</v>
      </c>
      <c r="B180" s="12" t="s">
        <v>643</v>
      </c>
      <c r="C180" s="12" t="s">
        <v>824</v>
      </c>
      <c r="D180" s="12"/>
      <c r="E180" s="12" t="s">
        <v>848</v>
      </c>
      <c r="F180" s="13"/>
      <c r="G180" s="12" t="s">
        <v>848</v>
      </c>
      <c r="H180" s="13"/>
      <c r="I180" s="12" t="s">
        <v>848</v>
      </c>
      <c r="J180" s="13"/>
      <c r="K180" s="12" t="s">
        <v>848</v>
      </c>
      <c r="L180" s="13"/>
      <c r="M180" s="12" t="s">
        <v>806</v>
      </c>
      <c r="N180" s="12" t="s">
        <v>802</v>
      </c>
      <c r="O180" s="12" t="str">
        <f>IF(TabelaRespostas[[#This Row],[Momento do Envio]]&gt;=1,"SIM","NÃO")</f>
        <v>SIM</v>
      </c>
      <c r="P180" s="12" t="s">
        <v>900</v>
      </c>
      <c r="Q180" s="14" t="s">
        <v>901</v>
      </c>
    </row>
    <row r="181" spans="1:17" ht="15" customHeight="1" x14ac:dyDescent="0.3">
      <c r="A181" s="15">
        <v>46269.615972222222</v>
      </c>
      <c r="B181" s="12" t="s">
        <v>643</v>
      </c>
      <c r="C181" s="12" t="s">
        <v>826</v>
      </c>
      <c r="D181" s="12"/>
      <c r="E181" s="12" t="s">
        <v>848</v>
      </c>
      <c r="F181" s="13"/>
      <c r="G181" s="12" t="s">
        <v>848</v>
      </c>
      <c r="H181" s="13"/>
      <c r="I181" s="12" t="s">
        <v>848</v>
      </c>
      <c r="J181" s="13"/>
      <c r="K181" s="12" t="s">
        <v>848</v>
      </c>
      <c r="L181" s="13"/>
      <c r="M181" s="12" t="s">
        <v>800</v>
      </c>
      <c r="N181" s="12" t="s">
        <v>810</v>
      </c>
      <c r="O181" s="12" t="str">
        <f>IF(TabelaRespostas[[#This Row],[Momento do Envio]]&gt;=1,"SIM","NÃO")</f>
        <v>SIM</v>
      </c>
      <c r="P181" s="12" t="s">
        <v>900</v>
      </c>
      <c r="Q181" s="14" t="s">
        <v>901</v>
      </c>
    </row>
    <row r="182" spans="1:17" ht="15" customHeight="1" x14ac:dyDescent="0.3">
      <c r="A182" s="15">
        <v>46269.615972222222</v>
      </c>
      <c r="B182" s="12" t="s">
        <v>643</v>
      </c>
      <c r="C182" s="12" t="s">
        <v>828</v>
      </c>
      <c r="D182" s="12"/>
      <c r="E182" s="12" t="s">
        <v>848</v>
      </c>
      <c r="F182" s="13"/>
      <c r="G182" s="12" t="s">
        <v>848</v>
      </c>
      <c r="H182" s="13"/>
      <c r="I182" s="12" t="s">
        <v>848</v>
      </c>
      <c r="J182" s="13"/>
      <c r="K182" s="12" t="s">
        <v>848</v>
      </c>
      <c r="L182" s="13"/>
      <c r="M182" s="12" t="s">
        <v>812</v>
      </c>
      <c r="N182" s="12" t="s">
        <v>814</v>
      </c>
      <c r="O182" s="12" t="str">
        <f>IF(TabelaRespostas[[#This Row],[Momento do Envio]]&gt;=1,"SIM","NÃO")</f>
        <v>SIM</v>
      </c>
      <c r="P182" s="12" t="s">
        <v>900</v>
      </c>
      <c r="Q182" s="14" t="s">
        <v>901</v>
      </c>
    </row>
    <row r="183" spans="1:17" ht="15" customHeight="1" x14ac:dyDescent="0.3">
      <c r="A183" s="15">
        <v>46269.615972222222</v>
      </c>
      <c r="B183" s="12" t="s">
        <v>643</v>
      </c>
      <c r="C183" s="12" t="s">
        <v>830</v>
      </c>
      <c r="D183" s="12"/>
      <c r="E183" s="12" t="s">
        <v>862</v>
      </c>
      <c r="F183" s="13" t="s">
        <v>291</v>
      </c>
      <c r="G183" s="12" t="s">
        <v>848</v>
      </c>
      <c r="H183" s="13"/>
      <c r="I183" s="12" t="s">
        <v>848</v>
      </c>
      <c r="J183" s="13"/>
      <c r="K183" s="12" t="s">
        <v>862</v>
      </c>
      <c r="L183" s="13"/>
      <c r="M183" s="12" t="s">
        <v>287</v>
      </c>
      <c r="N183" s="12" t="s">
        <v>470</v>
      </c>
      <c r="O183" s="12" t="str">
        <f>IF(TabelaRespostas[[#This Row],[Momento do Envio]]&gt;=1,"SIM","NÃO")</f>
        <v>SIM</v>
      </c>
      <c r="P183" s="12" t="s">
        <v>900</v>
      </c>
      <c r="Q183" s="14" t="s">
        <v>901</v>
      </c>
    </row>
    <row r="184" spans="1:17" ht="15" customHeight="1" x14ac:dyDescent="0.3">
      <c r="A184" s="15">
        <v>46269.723611111112</v>
      </c>
      <c r="B184" s="12" t="s">
        <v>604</v>
      </c>
      <c r="C184" s="12" t="s">
        <v>606</v>
      </c>
      <c r="D184" s="12"/>
      <c r="E184" s="12" t="s">
        <v>848</v>
      </c>
      <c r="F184" s="13"/>
      <c r="G184" s="12" t="s">
        <v>848</v>
      </c>
      <c r="H184" s="13"/>
      <c r="I184" s="12" t="s">
        <v>848</v>
      </c>
      <c r="J184" s="13"/>
      <c r="K184" s="12" t="s">
        <v>848</v>
      </c>
      <c r="L184" s="13"/>
      <c r="M184" s="12" t="s">
        <v>613</v>
      </c>
      <c r="N184" s="12" t="s">
        <v>753</v>
      </c>
      <c r="O184" s="12" t="str">
        <f>IF(TabelaRespostas[[#This Row],[Momento do Envio]]&gt;=1,"SIM","NÃO")</f>
        <v>SIM</v>
      </c>
      <c r="P184" s="12" t="s">
        <v>902</v>
      </c>
      <c r="Q184" s="14"/>
    </row>
    <row r="185" spans="1:17" ht="15" customHeight="1" x14ac:dyDescent="0.3">
      <c r="A185" s="15">
        <v>46269.723611111112</v>
      </c>
      <c r="B185" s="12" t="s">
        <v>604</v>
      </c>
      <c r="C185" s="12" t="s">
        <v>610</v>
      </c>
      <c r="D185" s="12"/>
      <c r="E185" s="12" t="s">
        <v>848</v>
      </c>
      <c r="F185" s="13"/>
      <c r="G185" s="12" t="s">
        <v>848</v>
      </c>
      <c r="H185" s="13"/>
      <c r="I185" s="12" t="s">
        <v>848</v>
      </c>
      <c r="J185" s="13"/>
      <c r="K185" s="12" t="s">
        <v>848</v>
      </c>
      <c r="L185" s="13"/>
      <c r="M185" s="12" t="s">
        <v>613</v>
      </c>
      <c r="N185" s="12" t="s">
        <v>756</v>
      </c>
      <c r="O185" s="12" t="str">
        <f>IF(TabelaRespostas[[#This Row],[Momento do Envio]]&gt;=1,"SIM","NÃO")</f>
        <v>SIM</v>
      </c>
      <c r="P185" s="12" t="s">
        <v>902</v>
      </c>
      <c r="Q185" s="14"/>
    </row>
    <row r="186" spans="1:17" ht="15" customHeight="1" x14ac:dyDescent="0.3">
      <c r="A186" s="15">
        <v>46269.723611111112</v>
      </c>
      <c r="B186" s="12" t="s">
        <v>604</v>
      </c>
      <c r="C186" s="12" t="s">
        <v>613</v>
      </c>
      <c r="D186" s="12"/>
      <c r="E186" s="12" t="s">
        <v>848</v>
      </c>
      <c r="F186" s="13"/>
      <c r="G186" s="12" t="s">
        <v>848</v>
      </c>
      <c r="H186" s="13"/>
      <c r="I186" s="12" t="s">
        <v>848</v>
      </c>
      <c r="J186" s="13"/>
      <c r="K186" s="12" t="s">
        <v>848</v>
      </c>
      <c r="L186" s="13"/>
      <c r="M186" s="12" t="s">
        <v>616</v>
      </c>
      <c r="N186" s="12" t="s">
        <v>747</v>
      </c>
      <c r="O186" s="12" t="str">
        <f>IF(TabelaRespostas[[#This Row],[Momento do Envio]]&gt;=1,"SIM","NÃO")</f>
        <v>SIM</v>
      </c>
      <c r="P186" s="12" t="s">
        <v>902</v>
      </c>
      <c r="Q186" s="14"/>
    </row>
    <row r="187" spans="1:17" ht="15" customHeight="1" x14ac:dyDescent="0.3">
      <c r="A187" s="15">
        <v>46269.723611111112</v>
      </c>
      <c r="B187" s="12" t="s">
        <v>604</v>
      </c>
      <c r="C187" s="12" t="s">
        <v>616</v>
      </c>
      <c r="D187" s="12"/>
      <c r="E187" s="12" t="s">
        <v>848</v>
      </c>
      <c r="F187" s="13"/>
      <c r="G187" s="12" t="s">
        <v>848</v>
      </c>
      <c r="H187" s="13"/>
      <c r="I187" s="12" t="s">
        <v>848</v>
      </c>
      <c r="J187" s="13"/>
      <c r="K187" s="12" t="s">
        <v>848</v>
      </c>
      <c r="L187" s="13"/>
      <c r="M187" s="12" t="s">
        <v>613</v>
      </c>
      <c r="N187" s="12" t="s">
        <v>751</v>
      </c>
      <c r="O187" s="12" t="str">
        <f>IF(TabelaRespostas[[#This Row],[Momento do Envio]]&gt;=1,"SIM","NÃO")</f>
        <v>SIM</v>
      </c>
      <c r="P187" s="12" t="s">
        <v>902</v>
      </c>
      <c r="Q187" s="14"/>
    </row>
    <row r="188" spans="1:17" ht="15" customHeight="1" x14ac:dyDescent="0.3">
      <c r="A188" s="15">
        <v>46269.73541666667</v>
      </c>
      <c r="B188" s="12" t="s">
        <v>104</v>
      </c>
      <c r="C188" s="12" t="s">
        <v>107</v>
      </c>
      <c r="D188" s="12"/>
      <c r="E188" s="12" t="s">
        <v>848</v>
      </c>
      <c r="F188" s="13"/>
      <c r="G188" s="12" t="s">
        <v>848</v>
      </c>
      <c r="H188" s="13"/>
      <c r="I188" s="12" t="s">
        <v>848</v>
      </c>
      <c r="J188" s="13"/>
      <c r="K188" s="12" t="s">
        <v>848</v>
      </c>
      <c r="L188" s="13"/>
      <c r="M188" s="12" t="s">
        <v>261</v>
      </c>
      <c r="N188" s="12" t="s">
        <v>183</v>
      </c>
      <c r="O188" s="12" t="str">
        <f>IF(TabelaRespostas[[#This Row],[Momento do Envio]]&gt;=1,"SIM","NÃO")</f>
        <v>SIM</v>
      </c>
      <c r="P188" s="12" t="s">
        <v>903</v>
      </c>
      <c r="Q188" s="14"/>
    </row>
    <row r="189" spans="1:17" ht="15" customHeight="1" x14ac:dyDescent="0.3">
      <c r="A189" s="15">
        <v>46269.723611111112</v>
      </c>
      <c r="B189" s="16" t="s">
        <v>291</v>
      </c>
      <c r="C189" s="12" t="s">
        <v>341</v>
      </c>
      <c r="D189" s="12"/>
      <c r="E189" s="12" t="s">
        <v>848</v>
      </c>
      <c r="F189" s="13"/>
      <c r="G189" s="12" t="s">
        <v>848</v>
      </c>
      <c r="H189" s="13"/>
      <c r="I189" s="12" t="s">
        <v>848</v>
      </c>
      <c r="J189" s="13"/>
      <c r="K189" s="12" t="s">
        <v>848</v>
      </c>
      <c r="L189" s="13"/>
      <c r="M189" s="12" t="s">
        <v>287</v>
      </c>
      <c r="N189" s="12" t="s">
        <v>476</v>
      </c>
      <c r="O189" s="12" t="str">
        <f>IF(TabelaRespostas[[#This Row],[Momento do Envio]]&gt;=1,"SIM","NÃO")</f>
        <v>SIM</v>
      </c>
      <c r="P189" s="12" t="s">
        <v>902</v>
      </c>
      <c r="Q189" s="14"/>
    </row>
    <row r="190" spans="1:17" ht="15" customHeight="1" x14ac:dyDescent="0.3">
      <c r="A190" s="15">
        <v>46269.73541666667</v>
      </c>
      <c r="B190" s="12" t="s">
        <v>291</v>
      </c>
      <c r="C190" s="12" t="s">
        <v>476</v>
      </c>
      <c r="D190" s="12"/>
      <c r="E190" s="12" t="s">
        <v>848</v>
      </c>
      <c r="F190" s="13"/>
      <c r="G190" s="12" t="s">
        <v>848</v>
      </c>
      <c r="H190" s="13"/>
      <c r="I190" s="12" t="s">
        <v>848</v>
      </c>
      <c r="J190" s="13"/>
      <c r="K190" s="12" t="s">
        <v>848</v>
      </c>
      <c r="L190" s="13"/>
      <c r="M190" s="12" t="s">
        <v>287</v>
      </c>
      <c r="N190" s="12" t="s">
        <v>341</v>
      </c>
      <c r="O190" s="12" t="str">
        <f>IF(TabelaRespostas[[#This Row],[Momento do Envio]]&gt;=1,"SIM","NÃO")</f>
        <v>SIM</v>
      </c>
      <c r="P190" s="12" t="s">
        <v>903</v>
      </c>
      <c r="Q190" s="14"/>
    </row>
    <row r="191" spans="1:17" ht="15" customHeight="1" x14ac:dyDescent="0.3">
      <c r="A191" s="15">
        <v>46299.385416666664</v>
      </c>
      <c r="B191" s="12" t="s">
        <v>225</v>
      </c>
      <c r="C191" s="12" t="s">
        <v>227</v>
      </c>
      <c r="D191" s="12"/>
      <c r="E191" s="12" t="s">
        <v>848</v>
      </c>
      <c r="F191" s="13"/>
      <c r="G191" s="12" t="s">
        <v>848</v>
      </c>
      <c r="H191" s="13"/>
      <c r="I191" s="12" t="s">
        <v>848</v>
      </c>
      <c r="J191" s="13"/>
      <c r="K191" s="12" t="s">
        <v>848</v>
      </c>
      <c r="L191" s="13"/>
      <c r="M191" s="12" t="s">
        <v>231</v>
      </c>
      <c r="N191" s="12" t="s">
        <v>234</v>
      </c>
      <c r="O191" s="12" t="str">
        <f>IF(TabelaRespostas[[#This Row],[Momento do Envio]]&gt;=1,"SIM","NÃO")</f>
        <v>SIM</v>
      </c>
      <c r="P191" s="12" t="s">
        <v>904</v>
      </c>
      <c r="Q191" s="14"/>
    </row>
    <row r="192" spans="1:17" ht="15" customHeight="1" x14ac:dyDescent="0.3">
      <c r="A192" s="15">
        <v>46299.385416666664</v>
      </c>
      <c r="B192" s="12" t="s">
        <v>225</v>
      </c>
      <c r="C192" s="12" t="s">
        <v>231</v>
      </c>
      <c r="D192" s="12"/>
      <c r="E192" s="12" t="s">
        <v>848</v>
      </c>
      <c r="F192" s="13"/>
      <c r="G192" s="12" t="s">
        <v>848</v>
      </c>
      <c r="H192" s="13"/>
      <c r="I192" s="12" t="s">
        <v>848</v>
      </c>
      <c r="J192" s="13"/>
      <c r="K192" s="12" t="s">
        <v>848</v>
      </c>
      <c r="L192" s="13"/>
      <c r="M192" s="12" t="s">
        <v>563</v>
      </c>
      <c r="N192" s="12" t="s">
        <v>227</v>
      </c>
      <c r="O192" s="12" t="str">
        <f>IF(TabelaRespostas[[#This Row],[Momento do Envio]]&gt;=1,"SIM","NÃO")</f>
        <v>SIM</v>
      </c>
      <c r="P192" s="12" t="s">
        <v>904</v>
      </c>
      <c r="Q192" s="14"/>
    </row>
    <row r="193" spans="1:17" ht="15" customHeight="1" x14ac:dyDescent="0.3">
      <c r="A193" s="15">
        <v>46299.385416666664</v>
      </c>
      <c r="B193" s="12" t="s">
        <v>225</v>
      </c>
      <c r="C193" s="12" t="s">
        <v>234</v>
      </c>
      <c r="D193" s="12"/>
      <c r="E193" s="12" t="s">
        <v>848</v>
      </c>
      <c r="F193" s="13"/>
      <c r="G193" s="12" t="s">
        <v>848</v>
      </c>
      <c r="H193" s="13"/>
      <c r="I193" s="12" t="s">
        <v>848</v>
      </c>
      <c r="J193" s="13"/>
      <c r="K193" s="12" t="s">
        <v>848</v>
      </c>
      <c r="L193" s="13"/>
      <c r="M193" s="12" t="s">
        <v>227</v>
      </c>
      <c r="N193" s="12" t="s">
        <v>231</v>
      </c>
      <c r="O193" s="12" t="str">
        <f>IF(TabelaRespostas[[#This Row],[Momento do Envio]]&gt;=1,"SIM","NÃO")</f>
        <v>SIM</v>
      </c>
      <c r="P193" s="12" t="s">
        <v>904</v>
      </c>
      <c r="Q193" s="14"/>
    </row>
    <row r="194" spans="1:17" ht="15" customHeight="1" x14ac:dyDescent="0.3">
      <c r="A194" s="15">
        <v>46299.40625</v>
      </c>
      <c r="B194" s="12" t="s">
        <v>112</v>
      </c>
      <c r="C194" s="12" t="s">
        <v>71</v>
      </c>
      <c r="D194" s="12"/>
      <c r="E194" s="12" t="s">
        <v>848</v>
      </c>
      <c r="F194" s="13"/>
      <c r="G194" s="12" t="s">
        <v>848</v>
      </c>
      <c r="H194" s="13"/>
      <c r="I194" s="12" t="s">
        <v>848</v>
      </c>
      <c r="J194" s="13"/>
      <c r="K194" s="12" t="s">
        <v>848</v>
      </c>
      <c r="L194" s="13"/>
      <c r="M194" s="12" t="s">
        <v>111</v>
      </c>
      <c r="N194" s="12" t="s">
        <v>332</v>
      </c>
      <c r="O194" s="12" t="str">
        <f>IF(TabelaRespostas[[#This Row],[Momento do Envio]]&gt;=1,"SIM","NÃO")</f>
        <v>SIM</v>
      </c>
      <c r="P194" s="12" t="s">
        <v>905</v>
      </c>
      <c r="Q194" s="14"/>
    </row>
    <row r="195" spans="1:17" ht="15" customHeight="1" x14ac:dyDescent="0.3">
      <c r="A195" s="15">
        <v>46299.40625</v>
      </c>
      <c r="B195" s="12" t="s">
        <v>112</v>
      </c>
      <c r="C195" s="12" t="s">
        <v>111</v>
      </c>
      <c r="D195" s="12"/>
      <c r="E195" s="12" t="s">
        <v>848</v>
      </c>
      <c r="F195" s="13"/>
      <c r="G195" s="12" t="s">
        <v>848</v>
      </c>
      <c r="H195" s="13"/>
      <c r="I195" s="12" t="s">
        <v>848</v>
      </c>
      <c r="J195" s="13"/>
      <c r="K195" s="12" t="s">
        <v>848</v>
      </c>
      <c r="L195" s="13"/>
      <c r="M195" s="12" t="s">
        <v>332</v>
      </c>
      <c r="N195" s="12" t="s">
        <v>71</v>
      </c>
      <c r="O195" s="12" t="str">
        <f>IF(TabelaRespostas[[#This Row],[Momento do Envio]]&gt;=1,"SIM","NÃO")</f>
        <v>SIM</v>
      </c>
      <c r="P195" s="12" t="s">
        <v>905</v>
      </c>
      <c r="Q195" s="14"/>
    </row>
    <row r="196" spans="1:17" ht="15" customHeight="1" x14ac:dyDescent="0.3">
      <c r="A196" s="15">
        <v>46299.40625</v>
      </c>
      <c r="B196" s="12" t="s">
        <v>112</v>
      </c>
      <c r="C196" s="12" t="s">
        <v>215</v>
      </c>
      <c r="D196" s="12"/>
      <c r="E196" s="12" t="s">
        <v>848</v>
      </c>
      <c r="F196" s="13"/>
      <c r="G196" s="12" t="s">
        <v>848</v>
      </c>
      <c r="H196" s="13"/>
      <c r="I196" s="12" t="s">
        <v>848</v>
      </c>
      <c r="J196" s="13"/>
      <c r="K196" s="12" t="s">
        <v>848</v>
      </c>
      <c r="L196" s="13"/>
      <c r="M196" s="12" t="s">
        <v>332</v>
      </c>
      <c r="N196" s="12" t="s">
        <v>111</v>
      </c>
      <c r="O196" s="12" t="str">
        <f>IF(TabelaRespostas[[#This Row],[Momento do Envio]]&gt;=1,"SIM","NÃO")</f>
        <v>SIM</v>
      </c>
      <c r="P196" s="12" t="s">
        <v>905</v>
      </c>
      <c r="Q196" s="14"/>
    </row>
    <row r="197" spans="1:17" ht="15" customHeight="1" x14ac:dyDescent="0.3">
      <c r="A197" s="15">
        <v>46299.40625</v>
      </c>
      <c r="B197" s="12" t="s">
        <v>112</v>
      </c>
      <c r="C197" s="12" t="s">
        <v>332</v>
      </c>
      <c r="D197" s="12"/>
      <c r="E197" s="12" t="s">
        <v>848</v>
      </c>
      <c r="F197" s="13"/>
      <c r="G197" s="12" t="s">
        <v>848</v>
      </c>
      <c r="H197" s="13"/>
      <c r="I197" s="12" t="s">
        <v>848</v>
      </c>
      <c r="J197" s="13"/>
      <c r="K197" s="12" t="s">
        <v>848</v>
      </c>
      <c r="L197" s="13"/>
      <c r="M197" s="12" t="s">
        <v>71</v>
      </c>
      <c r="N197" s="12" t="s">
        <v>111</v>
      </c>
      <c r="O197" s="12" t="str">
        <f>IF(TabelaRespostas[[#This Row],[Momento do Envio]]&gt;=1,"SIM","NÃO")</f>
        <v>SIM</v>
      </c>
      <c r="P197" s="12" t="s">
        <v>905</v>
      </c>
      <c r="Q197" s="14"/>
    </row>
  </sheetData>
  <pageMargins left="0.75" right="0.75" top="1" bottom="1" header="0.5" footer="0.5"/>
  <headerFooter>
    <oddFooter>&amp;L_x000D_&amp;1#&amp;"Aptos"&amp;10&amp;K000000 Classificação da Informação: Restrito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94CA1-84CE-4635-82A0-1A17CF6D309A}">
  <dimension ref="A1:D42"/>
  <sheetViews>
    <sheetView showGridLines="0" workbookViewId="0">
      <selection activeCell="H13" sqref="H13"/>
    </sheetView>
  </sheetViews>
  <sheetFormatPr defaultRowHeight="14.4" x14ac:dyDescent="0.3"/>
  <cols>
    <col min="1" max="1" width="28.88671875" bestFit="1" customWidth="1"/>
    <col min="2" max="2" width="28.5546875" bestFit="1" customWidth="1"/>
    <col min="3" max="3" width="28.5546875" customWidth="1"/>
    <col min="4" max="4" width="3.33203125" bestFit="1" customWidth="1"/>
  </cols>
  <sheetData>
    <row r="1" spans="1:4" x14ac:dyDescent="0.3">
      <c r="B1" t="s">
        <v>906</v>
      </c>
      <c r="C1" t="s">
        <v>907</v>
      </c>
      <c r="D1">
        <f>D3-D2</f>
        <v>22</v>
      </c>
    </row>
    <row r="2" spans="1:4" x14ac:dyDescent="0.3">
      <c r="A2" s="5" t="s">
        <v>832</v>
      </c>
      <c r="B2">
        <f>COUNTA(A:A)-2</f>
        <v>39</v>
      </c>
      <c r="C2" t="s">
        <v>908</v>
      </c>
      <c r="D2">
        <f>B2</f>
        <v>39</v>
      </c>
    </row>
    <row r="3" spans="1:4" x14ac:dyDescent="0.3">
      <c r="A3" t="s">
        <v>425</v>
      </c>
      <c r="C3" t="s">
        <v>909</v>
      </c>
      <c r="D3">
        <f>COUNTA(_xlfn.UNIQUE(Base_Dados!A:A))-1</f>
        <v>61</v>
      </c>
    </row>
    <row r="4" spans="1:4" x14ac:dyDescent="0.3">
      <c r="A4" t="s">
        <v>332</v>
      </c>
    </row>
    <row r="5" spans="1:4" x14ac:dyDescent="0.3">
      <c r="A5" t="s">
        <v>29</v>
      </c>
    </row>
    <row r="6" spans="1:4" x14ac:dyDescent="0.3">
      <c r="A6" t="s">
        <v>104</v>
      </c>
    </row>
    <row r="7" spans="1:4" x14ac:dyDescent="0.3">
      <c r="A7" t="s">
        <v>183</v>
      </c>
    </row>
    <row r="8" spans="1:4" x14ac:dyDescent="0.3">
      <c r="A8" t="s">
        <v>225</v>
      </c>
    </row>
    <row r="9" spans="1:4" x14ac:dyDescent="0.3">
      <c r="A9" t="s">
        <v>503</v>
      </c>
    </row>
    <row r="10" spans="1:4" x14ac:dyDescent="0.3">
      <c r="A10" t="s">
        <v>255</v>
      </c>
    </row>
    <row r="11" spans="1:4" x14ac:dyDescent="0.3">
      <c r="A11" t="s">
        <v>38</v>
      </c>
    </row>
    <row r="12" spans="1:4" x14ac:dyDescent="0.3">
      <c r="A12" t="s">
        <v>341</v>
      </c>
    </row>
    <row r="13" spans="1:4" x14ac:dyDescent="0.3">
      <c r="A13" t="s">
        <v>67</v>
      </c>
    </row>
    <row r="14" spans="1:4" x14ac:dyDescent="0.3">
      <c r="A14" t="s">
        <v>395</v>
      </c>
    </row>
    <row r="15" spans="1:4" x14ac:dyDescent="0.3">
      <c r="A15" t="s">
        <v>505</v>
      </c>
    </row>
    <row r="16" spans="1:4" x14ac:dyDescent="0.3">
      <c r="A16" t="s">
        <v>515</v>
      </c>
    </row>
    <row r="17" spans="1:1" x14ac:dyDescent="0.3">
      <c r="A17" t="s">
        <v>366</v>
      </c>
    </row>
    <row r="18" spans="1:1" x14ac:dyDescent="0.3">
      <c r="A18" t="s">
        <v>270</v>
      </c>
    </row>
    <row r="19" spans="1:1" x14ac:dyDescent="0.3">
      <c r="A19" t="s">
        <v>417</v>
      </c>
    </row>
    <row r="20" spans="1:1" x14ac:dyDescent="0.3">
      <c r="A20" t="s">
        <v>165</v>
      </c>
    </row>
    <row r="21" spans="1:1" x14ac:dyDescent="0.3">
      <c r="A21" t="s">
        <v>326</v>
      </c>
    </row>
    <row r="22" spans="1:1" x14ac:dyDescent="0.3">
      <c r="A22" t="s">
        <v>297</v>
      </c>
    </row>
    <row r="23" spans="1:1" x14ac:dyDescent="0.3">
      <c r="A23" t="s">
        <v>650</v>
      </c>
    </row>
    <row r="24" spans="1:1" x14ac:dyDescent="0.3">
      <c r="A24" t="s">
        <v>371</v>
      </c>
    </row>
    <row r="25" spans="1:1" x14ac:dyDescent="0.3">
      <c r="A25" t="s">
        <v>156</v>
      </c>
    </row>
    <row r="26" spans="1:1" x14ac:dyDescent="0.3">
      <c r="A26" t="s">
        <v>148</v>
      </c>
    </row>
    <row r="27" spans="1:1" x14ac:dyDescent="0.3">
      <c r="A27" t="s">
        <v>111</v>
      </c>
    </row>
    <row r="28" spans="1:1" x14ac:dyDescent="0.3">
      <c r="A28" t="s">
        <v>182</v>
      </c>
    </row>
    <row r="29" spans="1:1" x14ac:dyDescent="0.3">
      <c r="A29" t="s">
        <v>215</v>
      </c>
    </row>
    <row r="30" spans="1:1" x14ac:dyDescent="0.3">
      <c r="A30" t="s">
        <v>57</v>
      </c>
    </row>
    <row r="31" spans="1:1" x14ac:dyDescent="0.3">
      <c r="A31" t="s">
        <v>745</v>
      </c>
    </row>
    <row r="32" spans="1:1" x14ac:dyDescent="0.3">
      <c r="A32" t="s">
        <v>325</v>
      </c>
    </row>
    <row r="33" spans="1:1" x14ac:dyDescent="0.3">
      <c r="A33" t="s">
        <v>209</v>
      </c>
    </row>
    <row r="34" spans="1:1" x14ac:dyDescent="0.3">
      <c r="A34" t="s">
        <v>375</v>
      </c>
    </row>
    <row r="35" spans="1:1" x14ac:dyDescent="0.3">
      <c r="A35" t="s">
        <v>455</v>
      </c>
    </row>
    <row r="36" spans="1:1" x14ac:dyDescent="0.3">
      <c r="A36" t="s">
        <v>397</v>
      </c>
    </row>
    <row r="37" spans="1:1" x14ac:dyDescent="0.3">
      <c r="A37" t="s">
        <v>520</v>
      </c>
    </row>
    <row r="38" spans="1:1" x14ac:dyDescent="0.3">
      <c r="A38" t="s">
        <v>643</v>
      </c>
    </row>
    <row r="39" spans="1:1" x14ac:dyDescent="0.3">
      <c r="A39" t="s">
        <v>604</v>
      </c>
    </row>
    <row r="40" spans="1:1" x14ac:dyDescent="0.3">
      <c r="A40" t="s">
        <v>291</v>
      </c>
    </row>
    <row r="41" spans="1:1" x14ac:dyDescent="0.3">
      <c r="A41" t="s">
        <v>112</v>
      </c>
    </row>
    <row r="42" spans="1:1" x14ac:dyDescent="0.3">
      <c r="A42" t="s">
        <v>910</v>
      </c>
    </row>
  </sheetData>
  <pageMargins left="0.7" right="0.7" top="0.75" bottom="0.75" header="0.3" footer="0.3"/>
  <headerFooter>
    <oddFooter>&amp;L_x000D_&amp;1#&amp;"Aptos"&amp;10&amp;K000000 Classificação da Informação: Restrito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0A42A-3042-4B66-B73A-8D92322E745E}">
  <dimension ref="A1:A74"/>
  <sheetViews>
    <sheetView showGridLines="0" workbookViewId="0">
      <selection activeCell="A3" sqref="A3"/>
    </sheetView>
  </sheetViews>
  <sheetFormatPr defaultRowHeight="14.4" x14ac:dyDescent="0.3"/>
  <cols>
    <col min="1" max="1" width="49.88671875" bestFit="1" customWidth="1"/>
    <col min="2" max="2" width="28.88671875" bestFit="1" customWidth="1"/>
    <col min="3" max="3" width="28.5546875" bestFit="1" customWidth="1"/>
    <col min="4" max="4" width="34.33203125" customWidth="1"/>
  </cols>
  <sheetData>
    <row r="1" spans="1:1" x14ac:dyDescent="0.3">
      <c r="A1" s="6" t="s">
        <v>911</v>
      </c>
    </row>
    <row r="2" spans="1:1" x14ac:dyDescent="0.3">
      <c r="A2" s="7" t="str" cm="1">
        <f t="array" ref="A2:A22">_xlfn._xlws.SORT(_xlfn.UNIQUE(_xlfn._xlws.FILTER(Base_Dados!A2:A499, (Base_Dados!A2:A499&lt;&gt;"") * (COUNTIF(Respostas!B:B, Base_Dados!A2:A499)=0), "✅ Todos responderam!")))</f>
        <v>_</v>
      </c>
    </row>
    <row r="3" spans="1:1" x14ac:dyDescent="0.3">
      <c r="A3" s="7" t="str">
        <v>ALEX ALVARES PIMENTEL MACIEL</v>
      </c>
    </row>
    <row r="4" spans="1:1" x14ac:dyDescent="0.3">
      <c r="A4" s="7" t="str">
        <v>ALTAIR DE JESUS VILAR GUIMARAES</v>
      </c>
    </row>
    <row r="5" spans="1:1" x14ac:dyDescent="0.3">
      <c r="A5" s="7" t="str">
        <v>AMANDA MIRANDA DE CARVALHO</v>
      </c>
    </row>
    <row r="6" spans="1:1" x14ac:dyDescent="0.3">
      <c r="A6" s="7" t="str">
        <v>AMANDA STEFANI SOUSA DE ALMEIDA SANTOS</v>
      </c>
    </row>
    <row r="7" spans="1:1" x14ac:dyDescent="0.3">
      <c r="A7" s="7" t="str">
        <v>CARINE REIS DOS SANTOS</v>
      </c>
    </row>
    <row r="8" spans="1:1" x14ac:dyDescent="0.3">
      <c r="A8" s="7" t="str">
        <v>DANILO ALEXANDRE MONTEIRO DE CASTRO SABBAGH</v>
      </c>
    </row>
    <row r="9" spans="1:1" x14ac:dyDescent="0.3">
      <c r="A9" s="7" t="str">
        <v>DIEGO PIRES</v>
      </c>
    </row>
    <row r="10" spans="1:1" x14ac:dyDescent="0.3">
      <c r="A10" s="7" t="str">
        <v>ELIANE PEREIRA DA SILVA HIDALGO</v>
      </c>
    </row>
    <row r="11" spans="1:1" x14ac:dyDescent="0.3">
      <c r="A11" s="7" t="str">
        <v>FLAVIO HENRIQUE ALMEIDA FERREIRA DE MELO</v>
      </c>
    </row>
    <row r="12" spans="1:1" x14ac:dyDescent="0.3">
      <c r="A12" s="7" t="str">
        <v>LEON DOS REIS CALIXTO</v>
      </c>
    </row>
    <row r="13" spans="1:1" x14ac:dyDescent="0.3">
      <c r="A13" s="7" t="str">
        <v>LUÍS HENRIQUE SOARES DUTRA DE ANDRADE</v>
      </c>
    </row>
    <row r="14" spans="1:1" x14ac:dyDescent="0.3">
      <c r="A14" s="7" t="str">
        <v>RAMON BARCELOS VILAR GUIMARÃES</v>
      </c>
    </row>
    <row r="15" spans="1:1" x14ac:dyDescent="0.3">
      <c r="A15" s="7" t="str">
        <v>RAPHAEL AZEVEDO</v>
      </c>
    </row>
    <row r="16" spans="1:1" x14ac:dyDescent="0.3">
      <c r="A16" s="7" t="str">
        <v>RODRIGO ASSUMPÇÃO</v>
      </c>
    </row>
    <row r="17" spans="1:1" x14ac:dyDescent="0.3">
      <c r="A17" s="7" t="str">
        <v>RONALDO BRUNO DE SOUZA SANTOS</v>
      </c>
    </row>
    <row r="18" spans="1:1" x14ac:dyDescent="0.3">
      <c r="A18" s="7" t="str">
        <v>SANDRO YUKIO YAMANO</v>
      </c>
    </row>
    <row r="19" spans="1:1" x14ac:dyDescent="0.3">
      <c r="A19" s="7" t="str">
        <v>STAEL MARLEI DE SOUZA E SILVA</v>
      </c>
    </row>
    <row r="20" spans="1:1" x14ac:dyDescent="0.3">
      <c r="A20" s="7" t="str">
        <v>TALES VILAR MOTA GUIMARAES</v>
      </c>
    </row>
    <row r="21" spans="1:1" x14ac:dyDescent="0.3">
      <c r="A21" s="7" t="str">
        <v>VANUZA DOS SANTOS PRESTES</v>
      </c>
    </row>
    <row r="22" spans="1:1" x14ac:dyDescent="0.3">
      <c r="A22" s="7" t="str">
        <v>WANDERSON LAGE</v>
      </c>
    </row>
    <row r="23" spans="1:1" x14ac:dyDescent="0.3">
      <c r="A23" s="7"/>
    </row>
    <row r="24" spans="1:1" x14ac:dyDescent="0.3">
      <c r="A24" s="7"/>
    </row>
    <row r="25" spans="1:1" x14ac:dyDescent="0.3">
      <c r="A25" s="7"/>
    </row>
    <row r="26" spans="1:1" x14ac:dyDescent="0.3">
      <c r="A26" s="7"/>
    </row>
    <row r="27" spans="1:1" x14ac:dyDescent="0.3">
      <c r="A27" s="7"/>
    </row>
    <row r="28" spans="1:1" x14ac:dyDescent="0.3">
      <c r="A28" s="7"/>
    </row>
    <row r="29" spans="1:1" x14ac:dyDescent="0.3">
      <c r="A29" s="7"/>
    </row>
    <row r="30" spans="1:1" x14ac:dyDescent="0.3">
      <c r="A30" s="7"/>
    </row>
    <row r="31" spans="1:1" x14ac:dyDescent="0.3">
      <c r="A31" s="7"/>
    </row>
    <row r="32" spans="1:1" x14ac:dyDescent="0.3">
      <c r="A32" s="7"/>
    </row>
    <row r="33" spans="1:1" x14ac:dyDescent="0.3">
      <c r="A33" s="7"/>
    </row>
    <row r="34" spans="1:1" x14ac:dyDescent="0.3">
      <c r="A34" s="7"/>
    </row>
    <row r="35" spans="1:1" x14ac:dyDescent="0.3">
      <c r="A35" s="7"/>
    </row>
    <row r="36" spans="1:1" x14ac:dyDescent="0.3">
      <c r="A36" s="7"/>
    </row>
    <row r="37" spans="1:1" x14ac:dyDescent="0.3">
      <c r="A37" s="7"/>
    </row>
    <row r="38" spans="1:1" x14ac:dyDescent="0.3">
      <c r="A38" s="7"/>
    </row>
    <row r="39" spans="1:1" x14ac:dyDescent="0.3">
      <c r="A39" s="7"/>
    </row>
    <row r="40" spans="1:1" x14ac:dyDescent="0.3">
      <c r="A40" s="7"/>
    </row>
    <row r="41" spans="1:1" x14ac:dyDescent="0.3">
      <c r="A41" s="7"/>
    </row>
    <row r="42" spans="1:1" x14ac:dyDescent="0.3">
      <c r="A42" s="7"/>
    </row>
    <row r="43" spans="1:1" x14ac:dyDescent="0.3">
      <c r="A43" s="7"/>
    </row>
    <row r="44" spans="1:1" x14ac:dyDescent="0.3">
      <c r="A44" s="7"/>
    </row>
    <row r="45" spans="1:1" x14ac:dyDescent="0.3">
      <c r="A45" s="7"/>
    </row>
    <row r="46" spans="1:1" x14ac:dyDescent="0.3">
      <c r="A46" s="7"/>
    </row>
    <row r="47" spans="1:1" x14ac:dyDescent="0.3">
      <c r="A47" s="7"/>
    </row>
    <row r="48" spans="1:1" x14ac:dyDescent="0.3">
      <c r="A48" s="7"/>
    </row>
    <row r="49" spans="1:1" x14ac:dyDescent="0.3">
      <c r="A49" s="7"/>
    </row>
    <row r="50" spans="1:1" x14ac:dyDescent="0.3">
      <c r="A50" s="7"/>
    </row>
    <row r="51" spans="1:1" x14ac:dyDescent="0.3">
      <c r="A51" s="7"/>
    </row>
    <row r="52" spans="1:1" x14ac:dyDescent="0.3">
      <c r="A52" s="7"/>
    </row>
    <row r="53" spans="1:1" x14ac:dyDescent="0.3">
      <c r="A53" s="7"/>
    </row>
    <row r="54" spans="1:1" x14ac:dyDescent="0.3">
      <c r="A54" s="7"/>
    </row>
    <row r="55" spans="1:1" x14ac:dyDescent="0.3">
      <c r="A55" s="7"/>
    </row>
    <row r="56" spans="1:1" x14ac:dyDescent="0.3">
      <c r="A56" s="7"/>
    </row>
    <row r="57" spans="1:1" x14ac:dyDescent="0.3">
      <c r="A57" s="7"/>
    </row>
    <row r="58" spans="1:1" x14ac:dyDescent="0.3">
      <c r="A58" s="7"/>
    </row>
    <row r="59" spans="1:1" x14ac:dyDescent="0.3">
      <c r="A59" s="7"/>
    </row>
    <row r="60" spans="1:1" x14ac:dyDescent="0.3">
      <c r="A60" s="7"/>
    </row>
    <row r="61" spans="1:1" x14ac:dyDescent="0.3">
      <c r="A61" s="7"/>
    </row>
    <row r="62" spans="1:1" x14ac:dyDescent="0.3">
      <c r="A62" s="7"/>
    </row>
    <row r="63" spans="1:1" x14ac:dyDescent="0.3">
      <c r="A63" s="7"/>
    </row>
    <row r="64" spans="1:1" x14ac:dyDescent="0.3">
      <c r="A64" s="7"/>
    </row>
    <row r="65" spans="1:1" x14ac:dyDescent="0.3">
      <c r="A65" s="7"/>
    </row>
    <row r="66" spans="1:1" x14ac:dyDescent="0.3">
      <c r="A66" s="7"/>
    </row>
    <row r="67" spans="1:1" x14ac:dyDescent="0.3">
      <c r="A67" s="7"/>
    </row>
    <row r="68" spans="1:1" x14ac:dyDescent="0.3">
      <c r="A68" s="7"/>
    </row>
    <row r="69" spans="1:1" x14ac:dyDescent="0.3">
      <c r="A69" s="7"/>
    </row>
    <row r="70" spans="1:1" x14ac:dyDescent="0.3">
      <c r="A70" s="7"/>
    </row>
    <row r="71" spans="1:1" x14ac:dyDescent="0.3">
      <c r="A71" s="7"/>
    </row>
    <row r="72" spans="1:1" x14ac:dyDescent="0.3">
      <c r="A72" s="7"/>
    </row>
    <row r="73" spans="1:1" x14ac:dyDescent="0.3">
      <c r="A73" s="7"/>
    </row>
    <row r="74" spans="1:1" x14ac:dyDescent="0.3">
      <c r="A74" s="7"/>
    </row>
  </sheetData>
  <pageMargins left="0.7" right="0.7" top="0.75" bottom="0.75" header="0.3" footer="0.3"/>
  <headerFooter>
    <oddFooter>&amp;L_x000D_&amp;1#&amp;"Aptos"&amp;10&amp;K000000 Classificação da Informação: Restrito</oddFooter>
  </headerFooter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25a7fee-0375-4291-87e9-efb469dc66b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6981D71312D3B4BBFEE96F8801BDB9F" ma:contentTypeVersion="10" ma:contentTypeDescription="Crie um novo documento." ma:contentTypeScope="" ma:versionID="9b11b7dbc0483446f454d619f6ade395">
  <xsd:schema xmlns:xsd="http://www.w3.org/2001/XMLSchema" xmlns:xs="http://www.w3.org/2001/XMLSchema" xmlns:p="http://schemas.microsoft.com/office/2006/metadata/properties" xmlns:ns3="d25a7fee-0375-4291-87e9-efb469dc66be" targetNamespace="http://schemas.microsoft.com/office/2006/metadata/properties" ma:root="true" ma:fieldsID="0135f8e613f542a9121ee4594cb88a49" ns3:_="">
    <xsd:import namespace="d25a7fee-0375-4291-87e9-efb469dc66b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5a7fee-0375-4291-87e9-efb469dc66b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2384E18-AB68-4DBB-8E5A-132AAEABE0F7}">
  <ds:schemaRefs>
    <ds:schemaRef ds:uri="http://purl.org/dc/terms/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schemas.microsoft.com/office/2006/documentManagement/types"/>
    <ds:schemaRef ds:uri="d25a7fee-0375-4291-87e9-efb469dc66be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D2B36854-38B6-44D7-BC7F-399EDA229B1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9B313A1-8C2D-4B88-BC5D-62A0C88103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5a7fee-0375-4291-87e9-efb469dc66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Base_Dados</vt:lpstr>
      <vt:lpstr>Respostas</vt:lpstr>
      <vt:lpstr>Dashboard (2)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Regiane Aparecida de Souza Andrade</dc:creator>
  <cp:keywords/>
  <dc:description/>
  <cp:lastModifiedBy>Regiane Aparecida de Souza Andrade</cp:lastModifiedBy>
  <cp:revision/>
  <dcterms:created xsi:type="dcterms:W3CDTF">2026-03-19T19:03:22Z</dcterms:created>
  <dcterms:modified xsi:type="dcterms:W3CDTF">2026-04-10T13:11:38Z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091a35-5899-4ff4-9045-7afb0fd85c76_Enabled">
    <vt:lpwstr>true</vt:lpwstr>
  </property>
  <property fmtid="{D5CDD505-2E9C-101B-9397-08002B2CF9AE}" pid="3" name="MSIP_Label_b3091a35-5899-4ff4-9045-7afb0fd85c76_SetDate">
    <vt:lpwstr>2026-03-27T17:33:09Z</vt:lpwstr>
  </property>
  <property fmtid="{D5CDD505-2E9C-101B-9397-08002B2CF9AE}" pid="4" name="MSIP_Label_b3091a35-5899-4ff4-9045-7afb0fd85c76_Method">
    <vt:lpwstr>Standard</vt:lpwstr>
  </property>
  <property fmtid="{D5CDD505-2E9C-101B-9397-08002B2CF9AE}" pid="5" name="MSIP_Label_b3091a35-5899-4ff4-9045-7afb0fd85c76_Name">
    <vt:lpwstr>Restrito</vt:lpwstr>
  </property>
  <property fmtid="{D5CDD505-2E9C-101B-9397-08002B2CF9AE}" pid="6" name="MSIP_Label_b3091a35-5899-4ff4-9045-7afb0fd85c76_SiteId">
    <vt:lpwstr>e9327924-0f97-45ba-871f-4a124f334319</vt:lpwstr>
  </property>
  <property fmtid="{D5CDD505-2E9C-101B-9397-08002B2CF9AE}" pid="7" name="MSIP_Label_b3091a35-5899-4ff4-9045-7afb0fd85c76_ActionId">
    <vt:lpwstr>86e77eeb-d3b7-4cbf-a896-9d030ee4a541</vt:lpwstr>
  </property>
  <property fmtid="{D5CDD505-2E9C-101B-9397-08002B2CF9AE}" pid="8" name="MSIP_Label_b3091a35-5899-4ff4-9045-7afb0fd85c76_ContentBits">
    <vt:lpwstr>2</vt:lpwstr>
  </property>
  <property fmtid="{D5CDD505-2E9C-101B-9397-08002B2CF9AE}" pid="9" name="MSIP_Label_b3091a35-5899-4ff4-9045-7afb0fd85c76_Tag">
    <vt:lpwstr>10, 3, 0, 2</vt:lpwstr>
  </property>
  <property fmtid="{D5CDD505-2E9C-101B-9397-08002B2CF9AE}" pid="10" name="ContentTypeId">
    <vt:lpwstr>0x010100A6981D71312D3B4BBFEE96F8801BDB9F</vt:lpwstr>
  </property>
</Properties>
</file>
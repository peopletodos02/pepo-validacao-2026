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D25665C6-5EC0-4CFE-8EA2-DDC599A3B8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3" l="1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<sst xmlns="http://schemas.openxmlformats.org/spreadsheetml/2006/main" count="2209" uniqueCount="862">
  <si>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</si>
  <si>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</si>
  <si>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</si>
  <si>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</si>
  <si>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</si>
  <si>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</si>
  <si>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</si>
  <si>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</si>
  <si>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</si>
  <si>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</si>
  <si>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</si>
  <si>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</si>
  <si>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</si>
  <si>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</si>
  <si>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</si>
  <si>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</si>
  <si>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</si>
  <si>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</si>
  <si>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</si>
  <si>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</si>
  <si>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</si>
  <si>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</si>
  <si>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</si>
  <si>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</si>
  <si>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</si>
  <si>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</si>
  <si>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</si>
  <si>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</si>
  <si>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</si>
  <si>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</si>
  <si>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</si>
  <si>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</si>
  <si>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</si>
  <si>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</si>
  <si>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</si>
  <si>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</si>
  <si>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</si>
  <si>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</si>
  <si>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</si>
  <si>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</si>
  <si>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</si>
  <si>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</si>
  <si>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</si>
  <si>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</si>
  <si>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</si>
  <si>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</si>
  <si>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</si>
  <si>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</si>
  <si>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</si>
  <si>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</si>
  <si>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</si>
  <si>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</si>
  <si>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</si>
  <si>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</si>
  <si>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</si>
  <si>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</si>
  <si>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</si>
  <si>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</si>
  <si>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</si>
  <si>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</si>
  <si>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</si>
  <si>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</si>
  <si>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</si>
  <si>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</si>
  <si>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</si>
  <si>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</si>
  <si>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</si>
  <si>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</si>
  <si>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15018</t>
  </si>
  <si>
    <t>S04</t>
  </si>
  <si>
    <t>TALES VILAR MOTA GUIMARAES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</si>
  <si>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</si>
  <si>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</si>
  <si>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</si>
  <si>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</si>
  <si>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</si>
  <si>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</si>
  <si>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</si>
  <si>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</si>
  <si>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</si>
  <si>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</si>
  <si>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</si>
  <si>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</si>
  <si>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</si>
  <si>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</si>
  <si>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</si>
  <si>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</si>
  <si>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</si>
  <si>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</si>
  <si>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</si>
  <si>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</si>
  <si>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</si>
  <si>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</si>
  <si>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</si>
  <si>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</si>
  <si>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</si>
  <si>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</si>
  <si>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</si>
  <si>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</si>
  <si>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</si>
  <si>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</si>
  <si>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</si>
  <si>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</si>
  <si>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</si>
  <si>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</si>
  <si>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</si>
  <si>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</si>
  <si>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</si>
  <si>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</si>
  <si>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</si>
  <si>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</si>
  <si>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</si>
  <si>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</si>
  <si>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</si>
  <si>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</si>
  <si>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</si>
  <si>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</si>
  <si>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</si>
  <si>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</si>
  <si>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</si>
  <si>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</si>
  <si>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</si>
  <si>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</si>
  <si>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</si>
  <si>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</si>
  <si>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</si>
  <si>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</si>
  <si>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</si>
  <si>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</si>
  <si>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</si>
  <si>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</si>
  <si>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</si>
  <si>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</si>
  <si>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</si>
  <si>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</si>
  <si>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</si>
  <si>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</si>
  <si>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</si>
  <si>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</si>
  <si>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</si>
  <si>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</si>
  <si>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</si>
  <si>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</si>
  <si>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</si>
  <si>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</si>
  <si>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</si>
  <si>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</si>
  <si>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</si>
  <si>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</si>
  <si>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</si>
  <si>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</si>
  <si>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</si>
  <si>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</si>
  <si>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</si>
  <si>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</si>
  <si>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</si>
  <si>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</si>
  <si>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</si>
  <si>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</si>
  <si>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</si>
  <si>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</si>
  <si>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</si>
  <si>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</si>
  <si>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</si>
  <si>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</si>
  <si>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</si>
  <si>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</si>
  <si>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</si>
  <si>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</si>
  <si>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</si>
  <si>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</si>
  <si>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</si>
  <si>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</si>
  <si>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</si>
  <si>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</si>
  <si>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</si>
  <si>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</si>
  <si>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</si>
  <si>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</si>
  <si>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</si>
  <si>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</si>
  <si>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</si>
  <si>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</si>
  <si>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</si>
  <si>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</si>
  <si>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</si>
  <si>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</si>
  <si>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</si>
  <si>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</si>
  <si>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</si>
  <si>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</si>
  <si>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</si>
  <si>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</si>
  <si>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</si>
  <si>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</si>
  <si>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</si>
  <si>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</si>
  <si>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</si>
  <si>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</si>
  <si>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</si>
  <si>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</si>
  <si>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</si>
  <si>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</si>
  <si>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</si>
  <si>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</si>
  <si>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</si>
  <si>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</si>
  <si>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</si>
  <si>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</si>
  <si>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</si>
  <si>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</si>
  <si>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</si>
  <si>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</si>
  <si>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</si>
  <si>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</si>
  <si>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</si>
  <si>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</si>
  <si>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</si>
  <si>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</si>
  <si>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</si>
  <si>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</si>
  <si>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</si>
  <si>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</si>
  <si>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</si>
  <si>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</si>
  <si>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</si>
  <si>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</si>
  <si>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</si>
  <si>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</si>
  <si>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</si>
  <si>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</si>
  <si>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</si>
  <si>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</si>
  <si>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</si>
  <si>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</si>
  <si>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</si>
  <si>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</si>
  <si>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</si>
  <si>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</si>
  <si>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</si>
  <si>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</si>
  <si>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</si>
  <si>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</si>
  <si>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</si>
  <si>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</si>
  <si>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</si>
  <si>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</si>
  <si>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</si>
  <si>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</si>
  <si>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</si>
  <si>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</si>
  <si>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</si>
  <si>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</si>
  <si>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</si>
  <si>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</si>
  <si>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</si>
  <si>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</si>
  <si>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</si>
  <si>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</si>
  <si>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</si>
  <si>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</si>
  <si>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</si>
  <si>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</si>
  <si>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</si>
  <si>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</si>
  <si>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</si>
  <si>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</si>
  <si>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</si>
  <si>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</si>
  <si>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</si>
  <si>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</si>
  <si>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</si>
  <si>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</si>
  <si>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</si>
  <si>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</si>
  <si>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</si>
  <si>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</si>
  <si>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</si>
  <si>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</si>
  <si>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</si>
  <si>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</si>
  <si>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</si>
  <si>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</si>
  <si>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</si>
  <si>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</si>
  <si>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</si>
  <si>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</si>
  <si>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</si>
  <si>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</si>
  <si>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</si>
  <si>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</si>
  <si>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</si>
  <si>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</si>
  <si>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</si>
  <si>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</si>
  <si>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</si>
  <si>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</si>
  <si>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</si>
  <si>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</si>
  <si>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</si>
  <si>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</si>
  <si>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</si>
  <si>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</si>
  <si>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</si>
  <si>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</si>
  <si>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</si>
  <si>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</si>
  <si>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</si>
  <si>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</si>
  <si>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</si>
  <si>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</si>
  <si>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</si>
  <si>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</si>
  <si>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</si>
  <si>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</si>
  <si>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</si>
  <si>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</si>
  <si>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</si>
  <si>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</si>
  <si>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</si>
  <si>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</si>
  <si>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</si>
  <si>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</si>
  <si>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</si>
  <si>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</si>
  <si>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</si>
  <si>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</si>
  <si>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</si>
  <si>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</si>
  <si>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</si>
  <si>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</si>
  <si>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</si>
  <si>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</si>
  <si>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</si>
  <si>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</si>
  <si>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</si>
  <si>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</si>
  <si>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</si>
  <si>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</si>
  <si>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</si>
  <si>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</si>
  <si>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</si>
  <si>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</si>
  <si>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</si>
  <si>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</si>
  <si>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</si>
  <si>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</si>
  <si>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</si>
  <si>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</si>
  <si>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</si>
  <si>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</si>
  <si>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</si>
  <si>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</si>
  <si>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</si>
  <si>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</si>
  <si>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</si>
  <si>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</si>
  <si>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</si>
  <si>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</si>
  <si>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</si>
  <si>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</si>
  <si>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</si>
  <si>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</si>
  <si>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</si>
  <si>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</si>
  <si>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</si>
  <si>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</si>
  <si>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</si>
  <si>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</si>
  <si>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</si>
  <si>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</si>
  <si>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</si>
  <si>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</si>
  <si>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</si>
  <si>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</si>
  <si>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</si>
  <si>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</si>
  <si>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</si>
  <si>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</si>
  <si>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</si>
  <si>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</si>
  <si>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</si>
  <si>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</si>
  <si>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</si>
  <si>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</si>
  <si>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</si>
  <si>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</si>
  <si>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</si>
  <si>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</si>
  <si>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</si>
  <si>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</si>
  <si>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</si>
  <si>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</si>
  <si>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</si>
  <si>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</si>
  <si>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</si>
  <si>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</si>
  <si>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</si>
  <si>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</si>
  <si>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</si>
  <si>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</si>
  <si>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</si>
  <si>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</si>
  <si>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</si>
  <si>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</si>
  <si>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</si>
  <si>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</si>
  <si>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</si>
  <si>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</si>
  <si>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</si>
  <si>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</si>
  <si>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</si>
  <si>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</si>
  <si>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</si>
  <si>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</si>
  <si>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</si>
  <si>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</si>
  <si>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</si>
  <si>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</si>
  <si>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</si>
  <si>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</si>
  <si>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</si>
  <si>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</si>
  <si>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2075471</t>
  </si>
  <si>
    <t>THIAGO DA SILVA CHISNANDES</t>
  </si>
  <si>
    <t>COORDENADOR DE PLANEJAMENTO FINANCEIRO E ORÇAMENTARIO</t>
  </si>
  <si>
    <t>FINANCAS - FP&amp;A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</si>
  <si>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</si>
  <si>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</si>
  <si>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</si>
  <si>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</si>
  <si>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</si>
  <si>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</si>
  <si>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</si>
  <si>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</si>
  <si>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</si>
  <si>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</si>
  <si>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</si>
  <si>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</si>
  <si>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</si>
  <si>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</si>
  <si>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</si>
  <si>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</si>
  <si>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</si>
  <si>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</si>
  <si>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</si>
  <si>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</si>
  <si>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</si>
  <si>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</si>
  <si>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</si>
  <si>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</si>
  <si>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</si>
  <si>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</si>
  <si>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</si>
  <si>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</si>
  <si>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</si>
  <si>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</si>
  <si>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</si>
  <si>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</si>
  <si>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</si>
  <si>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</si>
  <si>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</si>
  <si>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</si>
  <si>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</si>
  <si>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</si>
  <si>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</si>
  <si>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</si>
  <si>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</si>
  <si>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</si>
  <si>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</si>
  <si>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</si>
  <si>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</si>
  <si>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</si>
  <si>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</si>
  <si>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</si>
  <si>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</si>
  <si>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</si>
  <si>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</si>
  <si>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</si>
  <si>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</si>
  <si>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</si>
  <si>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</si>
  <si>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</si>
  <si>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</si>
  <si>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</si>
  <si>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</si>
  <si>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</si>
  <si>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</si>
  <si>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</si>
  <si>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</si>
  <si>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</si>
  <si>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</si>
  <si>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</si>
  <si>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</si>
  <si>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</si>
  <si>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</si>
  <si>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</si>
  <si>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</si>
  <si>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</si>
  <si>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</si>
  <si>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</si>
  <si>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</si>
  <si>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</si>
  <si>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</si>
  <si>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</si>
  <si>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</si>
  <si>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</si>
  <si>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</si>
  <si>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</si>
  <si>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</si>
  <si>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</si>
  <si>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</si>
  <si>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</si>
  <si>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</si>
  <si>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458230</t>
  </si>
  <si>
    <t>JULIO CESAR BARBOSA BENEDITO DA COSTA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</si>
  <si>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</si>
  <si>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</si>
  <si>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</si>
  <si>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</si>
  <si>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</si>
  <si>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</si>
  <si>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</si>
  <si>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</si>
  <si>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</si>
  <si>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</si>
  <si>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</si>
  <si>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</si>
  <si>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</si>
  <si>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</si>
  <si>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</si>
  <si>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</si>
  <si>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</si>
  <si>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</si>
  <si>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</si>
  <si>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</si>
  <si>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</si>
  <si>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</si>
  <si>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</si>
  <si>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</si>
  <si>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</si>
  <si>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</si>
  <si>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</si>
  <si>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</si>
  <si>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</si>
  <si>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</si>
  <si>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</si>
  <si>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</si>
  <si>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</si>
  <si>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</si>
  <si>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</si>
  <si>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</si>
  <si>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</si>
  <si>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</si>
  <si>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</si>
  <si>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</si>
  <si>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</si>
  <si>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</si>
  <si>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</si>
  <si>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</si>
  <si>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</si>
  <si>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</si>
  <si>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</si>
  <si>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</si>
  <si>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</si>
  <si>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</si>
  <si>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</si>
  <si>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MARIANA DE ALBUQUERQUE LOPES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</si>
  <si>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</si>
  <si>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</si>
  <si>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</si>
  <si>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</si>
  <si>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</si>
  <si>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</si>
  <si>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</si>
  <si>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</si>
  <si>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</si>
  <si>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</si>
  <si>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</si>
  <si>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</si>
  <si>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</si>
  <si>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</si>
  <si>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</si>
  <si>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</si>
  <si>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</si>
  <si>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</si>
  <si>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</si>
  <si>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</si>
  <si>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</si>
  <si>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</si>
  <si>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</si>
  <si>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</si>
  <si>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</si>
  <si>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</si>
  <si>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</si>
  <si>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</si>
  <si>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</si>
  <si>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</si>
  <si>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</si>
  <si>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</si>
  <si>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</si>
  <si>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</si>
  <si>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</si>
  <si>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</si>
  <si>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</si>
  <si>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</si>
  <si>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</si>
  <si>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</si>
  <si>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</si>
  <si>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</si>
  <si>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</si>
  <si>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</si>
  <si>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</si>
  <si>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</si>
  <si>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</si>
  <si>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</si>
  <si>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</si>
  <si>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</si>
  <si>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</si>
  <si>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</si>
  <si>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</si>
  <si>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</si>
  <si>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</si>
  <si>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</si>
  <si>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</si>
  <si>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</si>
  <si>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</si>
  <si>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</si>
  <si>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</si>
  <si>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</si>
  <si>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</si>
  <si>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</si>
  <si>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</si>
  <si>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</si>
  <si>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</si>
  <si>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</si>
  <si>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</si>
  <si>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</si>
  <si>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</si>
  <si>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</si>
  <si>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</si>
  <si>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</si>
  <si>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</si>
  <si>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</si>
  <si>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</si>
  <si>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</si>
  <si>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</si>
  <si>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</si>
  <si>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</si>
  <si>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</si>
  <si>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</si>
  <si>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</si>
  <si>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</si>
  <si>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</si>
  <si>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</si>
  <si>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</si>
  <si>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</si>
  <si>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</si>
  <si>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</si>
  <si>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</si>
  <si>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</si>
  <si>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</si>
  <si>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</si>
  <si>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</si>
  <si>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</si>
  <si>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</si>
  <si>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</si>
  <si>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</si>
  <si>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</si>
  <si>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</si>
  <si>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</si>
  <si>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</si>
  <si>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</si>
  <si>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</si>
  <si>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</si>
  <si>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</si>
  <si>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</si>
  <si>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</si>
  <si>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</si>
  <si>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</si>
  <si>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</si>
  <si>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</si>
  <si>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</si>
  <si>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</si>
  <si>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</si>
  <si>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</si>
  <si>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</si>
  <si>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</si>
  <si>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</si>
  <si>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</si>
  <si>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</si>
  <si>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</si>
  <si>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</si>
  <si>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</si>
  <si>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</si>
  <si>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</si>
  <si>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</si>
  <si>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</si>
  <si>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</si>
  <si>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</si>
  <si>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</si>
  <si>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</si>
  <si>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</si>
  <si>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</si>
  <si>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</si>
  <si>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</si>
  <si>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</si>
  <si>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</si>
  <si>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</si>
  <si>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</si>
  <si>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</si>
  <si>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</si>
  <si>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</si>
  <si>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</si>
  <si>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</si>
  <si>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</si>
  <si>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</si>
  <si>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</si>
  <si>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</si>
  <si>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</si>
  <si>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</si>
  <si>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</si>
  <si>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</si>
  <si>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</si>
  <si>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</si>
  <si>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</si>
  <si>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</si>
  <si>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</si>
  <si>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</si>
  <si>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</si>
  <si>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</si>
  <si>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</si>
  <si>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</si>
  <si>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</si>
  <si>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</si>
  <si>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</si>
  <si>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</si>
  <si>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</si>
  <si>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</si>
  <si>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</si>
  <si>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</si>
  <si>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</si>
  <si>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</si>
  <si>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</si>
  <si>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</si>
  <si>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</si>
  <si>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</si>
  <si>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</si>
  <si>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</si>
  <si>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</si>
  <si>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</si>
  <si>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</si>
  <si>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</si>
  <si>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</si>
  <si>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</si>
  <si>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</si>
  <si>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</si>
  <si>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</si>
  <si>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</si>
  <si>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</si>
  <si>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</si>
  <si>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</si>
  <si>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</si>
  <si>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</si>
  <si>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</si>
  <si>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</si>
  <si>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</si>
  <si>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</si>
  <si>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</si>
  <si>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</si>
  <si>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</si>
  <si>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</si>
  <si>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</si>
  <si>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</si>
  <si>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</si>
  <si>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DESENVOLVEDOR UI UX SR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</si>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</sst>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2.186870486112" createdVersion="8" refreshedVersion="8" minRefreshableVersion="3" recordCount="6" xr:uid="{19354E3C-2ADC-4D7D-9C41-36AB88EBB2BC}">
  <cacheSource type="worksheet">
    <worksheetSource name="TabelaRespostas"/>
  </cacheSource>
  <cacheFields count="17">
    <cacheField name="Momento do Envio" numFmtId="0">
      <sharedItems/>
    </cacheField>
    <cacheField name="Nome do Gestor" numFmtId="0">
      <sharedItems containsBlank="1" count="13">
        <s v="THIAGO DA SILVA CHISNANDES"/>
        <s v="NUBIA AQUINO DA SILVA"/>
        <m u="1"/>
        <s v="VANUZA DOS SANTOS PRESTES" u="1"/>
        <s v="CAMILA DA SILVA ANDRADE" u="1"/>
        <s v="ANDRE NADDEO" u="1"/>
        <s v="AMANDA MIRANDA DE CARVALHO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NonDate="0" containsString="0" containsBlank="1"/>
    </cacheField>
    <cacheField name="Cargo Correto?" numFmtId="0">
      <sharedItems/>
    </cacheField>
    <cacheField name="Novo Cargo" numFmtId="0">
      <sharedItems containsNonDate="0" containsString="0"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5" firstHeaderRow="1" firstDataRow="1" firstDataCol="1"/>
  <pivotFields count="17">
    <pivotField compact="0" outline="0" showAll="0"/>
    <pivotField axis="axisRow" compact="0" outline="0" showAll="0">
      <items count="14">
        <item x="0"/>
        <item m="1" x="3"/>
        <item m="1" x="7"/>
        <item m="1" x="8"/>
        <item m="1" x="5"/>
        <item m="1" x="9"/>
        <item m="1" x="10"/>
        <item m="1" x="11"/>
        <item m="1" x="12"/>
        <item m="1" x="2"/>
        <item m="1" x="6"/>
        <item m="1" x="4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">
    <i>
      <x/>
    </i>
    <i>
      <x v="1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2" totalsRowShown="0" headerRowDxfId="7" headerRowBorderDxfId="6" tableBorderDxfId="5">
  <autoFilter ref="A1:Q1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zoomScale="90" zoomScaleNormal="90" workbookViewId="0">
      <selection activeCell="C1" sqref="C1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48</v>
      </c>
      <c r="B18" s="8" t="s">
        <v>48</v>
      </c>
      <c r="C18" s="8" t="s">
        <v>64</v>
      </c>
      <c r="D18" s="10" t="s">
        <v>65</v>
      </c>
      <c r="E18" s="8" t="s">
        <v>66</v>
      </c>
      <c r="F18" s="8" t="s">
        <v>67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68</v>
      </c>
      <c r="D19" s="10" t="s">
        <v>69</v>
      </c>
      <c r="E19" s="8" t="s">
        <v>70</v>
      </c>
      <c r="F19" s="8" t="s">
        <v>67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66</v>
      </c>
      <c r="B46" s="8" t="s">
        <v>66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66</v>
      </c>
      <c r="B47" s="8" t="s">
        <v>66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66</v>
      </c>
      <c r="B48" s="8" t="s">
        <v>66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66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341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70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70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70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187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423</v>
      </c>
      <c r="D132" s="8">
        <v>800</v>
      </c>
      <c r="E132" s="8" t="s">
        <v>424</v>
      </c>
      <c r="F132" s="8" t="s">
        <v>425</v>
      </c>
      <c r="G132" s="8" t="s">
        <v>35</v>
      </c>
      <c r="H132" s="8" t="s">
        <v>426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259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291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291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291</v>
      </c>
      <c r="B147" s="8" t="s">
        <v>291</v>
      </c>
      <c r="C147" s="8" t="s">
        <v>469</v>
      </c>
      <c r="D147" s="10">
        <v>0</v>
      </c>
      <c r="E147" s="8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s="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s="8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291</v>
      </c>
      <c r="B150" s="8" t="s">
        <v>291</v>
      </c>
      <c r="C150" s="8" t="s">
        <v>478</v>
      </c>
      <c r="D150" s="10" t="s">
        <v>479</v>
      </c>
      <c r="E150" s="8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567</v>
      </c>
      <c r="B165" s="8" t="s">
        <v>395</v>
      </c>
      <c r="C165" s="8" t="s">
        <v>514</v>
      </c>
      <c r="D165" s="8">
        <v>493</v>
      </c>
      <c r="E165" s="8" t="s">
        <v>515</v>
      </c>
      <c r="F165" s="8" t="s">
        <v>516</v>
      </c>
      <c r="G165" s="8" t="s">
        <v>35</v>
      </c>
      <c r="H165" s="8" t="s">
        <v>517</v>
      </c>
      <c r="I165" s="9">
        <v>44718</v>
      </c>
    </row>
    <row r="166" spans="1:9" x14ac:dyDescent="0.3">
      <c r="A166" s="8" t="s">
        <v>518</v>
      </c>
      <c r="B166" s="8" t="s">
        <v>518</v>
      </c>
      <c r="C166" s="8" t="s">
        <v>519</v>
      </c>
      <c r="D166" s="10" t="s">
        <v>520</v>
      </c>
      <c r="E166" s="8" t="s">
        <v>521</v>
      </c>
      <c r="F166" s="8" t="s">
        <v>522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518</v>
      </c>
      <c r="B167" s="8" t="s">
        <v>518</v>
      </c>
      <c r="C167" s="8" t="s">
        <v>523</v>
      </c>
      <c r="D167" s="10" t="s">
        <v>524</v>
      </c>
      <c r="E167" s="8" t="s">
        <v>525</v>
      </c>
      <c r="F167" s="8" t="s">
        <v>522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518</v>
      </c>
      <c r="B168" s="8" t="s">
        <v>518</v>
      </c>
      <c r="C168" s="8" t="s">
        <v>526</v>
      </c>
      <c r="D168" s="10" t="s">
        <v>527</v>
      </c>
      <c r="E168" s="8" t="s">
        <v>528</v>
      </c>
      <c r="F168" s="8" t="s">
        <v>522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518</v>
      </c>
      <c r="B169" s="8" t="s">
        <v>518</v>
      </c>
      <c r="C169" s="8" t="s">
        <v>529</v>
      </c>
      <c r="D169" s="10" t="s">
        <v>530</v>
      </c>
      <c r="E169" s="8" t="s">
        <v>531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518</v>
      </c>
      <c r="B170" s="8" t="s">
        <v>518</v>
      </c>
      <c r="C170" s="8" t="s">
        <v>532</v>
      </c>
      <c r="D170" s="8">
        <v>924</v>
      </c>
      <c r="E170" s="8" t="s">
        <v>533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518</v>
      </c>
      <c r="B171" s="8" t="s">
        <v>518</v>
      </c>
      <c r="C171" s="8" t="s">
        <v>534</v>
      </c>
      <c r="D171" s="10" t="s">
        <v>535</v>
      </c>
      <c r="E171" s="8" t="s">
        <v>536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518</v>
      </c>
      <c r="B172" t="s">
        <v>518</v>
      </c>
      <c r="C172" t="s">
        <v>537</v>
      </c>
      <c r="D172">
        <v>690</v>
      </c>
      <c r="E172" t="s">
        <v>538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518</v>
      </c>
      <c r="B173" s="8" t="s">
        <v>518</v>
      </c>
      <c r="C173" s="8" t="s">
        <v>539</v>
      </c>
      <c r="D173" s="8">
        <v>343</v>
      </c>
      <c r="E173" s="8" t="s">
        <v>540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518</v>
      </c>
      <c r="B174" s="8" t="s">
        <v>518</v>
      </c>
      <c r="C174" s="8" t="s">
        <v>541</v>
      </c>
      <c r="D174" s="8">
        <v>236</v>
      </c>
      <c r="E174" s="8" t="s">
        <v>542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518</v>
      </c>
      <c r="B175" s="8" t="s">
        <v>518</v>
      </c>
      <c r="C175" s="8" t="s">
        <v>543</v>
      </c>
      <c r="D175" s="10" t="s">
        <v>544</v>
      </c>
      <c r="E175" s="8" t="s">
        <v>545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518</v>
      </c>
      <c r="B176" s="8" t="s">
        <v>518</v>
      </c>
      <c r="C176" s="8" t="s">
        <v>546</v>
      </c>
      <c r="D176" s="8">
        <v>922</v>
      </c>
      <c r="E176" s="8" t="s">
        <v>547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548</v>
      </c>
      <c r="B177" s="8" t="s">
        <v>549</v>
      </c>
      <c r="C177" s="8" t="s">
        <v>550</v>
      </c>
      <c r="D177" s="10" t="s">
        <v>551</v>
      </c>
      <c r="E177" s="8" t="s">
        <v>48</v>
      </c>
      <c r="F177" s="8" t="s">
        <v>552</v>
      </c>
      <c r="G177" s="8" t="s">
        <v>35</v>
      </c>
      <c r="H177" s="8" t="s">
        <v>553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554</v>
      </c>
      <c r="D178" s="8">
        <v>634</v>
      </c>
      <c r="E178" s="8" t="s">
        <v>555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556</v>
      </c>
      <c r="D179" s="8">
        <v>356</v>
      </c>
      <c r="E179" s="8" t="s">
        <v>557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558</v>
      </c>
      <c r="D180" s="8">
        <v>637</v>
      </c>
      <c r="E180" s="8" t="s">
        <v>559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560</v>
      </c>
      <c r="D181" s="8">
        <v>434</v>
      </c>
      <c r="E181" s="8" t="s">
        <v>561</v>
      </c>
      <c r="F181" s="8" t="s">
        <v>562</v>
      </c>
      <c r="G181" s="8" t="s">
        <v>35</v>
      </c>
      <c r="H181" s="8" t="s">
        <v>563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564</v>
      </c>
      <c r="D182" s="8">
        <v>927</v>
      </c>
      <c r="E182" s="8" t="s">
        <v>565</v>
      </c>
      <c r="F182" s="8" t="s">
        <v>228</v>
      </c>
      <c r="G182" s="8" t="s">
        <v>35</v>
      </c>
      <c r="H182" s="8" t="s">
        <v>563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566</v>
      </c>
      <c r="D183" s="8">
        <v>539</v>
      </c>
      <c r="E183" s="8" t="s">
        <v>567</v>
      </c>
      <c r="F183" s="8" t="s">
        <v>568</v>
      </c>
      <c r="G183" s="8" t="s">
        <v>35</v>
      </c>
      <c r="H183" s="8" t="s">
        <v>517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569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570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571</v>
      </c>
      <c r="B186" s="8" t="s">
        <v>571</v>
      </c>
      <c r="C186" s="8" t="s">
        <v>572</v>
      </c>
      <c r="D186" s="8">
        <v>943</v>
      </c>
      <c r="E186" s="8" t="s">
        <v>573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571</v>
      </c>
      <c r="B187" s="8" t="s">
        <v>571</v>
      </c>
      <c r="C187" s="8" t="s">
        <v>574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575</v>
      </c>
      <c r="B188" s="8" t="s">
        <v>575</v>
      </c>
      <c r="C188" s="8" t="s">
        <v>576</v>
      </c>
      <c r="D188" s="10" t="s">
        <v>577</v>
      </c>
      <c r="E188" s="8" t="s">
        <v>578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575</v>
      </c>
      <c r="B189" s="8" t="s">
        <v>575</v>
      </c>
      <c r="C189" s="8" t="s">
        <v>579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580</v>
      </c>
      <c r="D190" s="8">
        <v>809</v>
      </c>
      <c r="E190" s="8" t="s">
        <v>581</v>
      </c>
      <c r="F190" s="8" t="s">
        <v>582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583</v>
      </c>
      <c r="D191" s="8">
        <v>741</v>
      </c>
      <c r="E191" s="8" t="s">
        <v>584</v>
      </c>
      <c r="F191" s="8" t="s">
        <v>582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585</v>
      </c>
      <c r="D192" s="8">
        <v>902</v>
      </c>
      <c r="E192" s="8" t="s">
        <v>586</v>
      </c>
      <c r="F192" s="8" t="s">
        <v>582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587</v>
      </c>
      <c r="D193" s="8">
        <v>913</v>
      </c>
      <c r="E193" s="8" t="s">
        <v>588</v>
      </c>
      <c r="F193" s="8" t="s">
        <v>582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589</v>
      </c>
      <c r="D194" s="8">
        <v>712</v>
      </c>
      <c r="E194" s="8" t="s">
        <v>590</v>
      </c>
      <c r="F194" s="8" t="s">
        <v>582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591</v>
      </c>
      <c r="D195" s="8">
        <v>630</v>
      </c>
      <c r="E195" s="8" t="s">
        <v>592</v>
      </c>
      <c r="F195" s="8" t="s">
        <v>582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593</v>
      </c>
      <c r="D196" s="8">
        <v>632</v>
      </c>
      <c r="E196" s="8" t="s">
        <v>594</v>
      </c>
      <c r="F196" s="8" t="s">
        <v>582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595</v>
      </c>
      <c r="D197" s="8">
        <v>802</v>
      </c>
      <c r="E197" s="8" t="s">
        <v>326</v>
      </c>
      <c r="F197" s="8" t="s">
        <v>596</v>
      </c>
      <c r="G197" s="8" t="s">
        <v>35</v>
      </c>
      <c r="H197" s="8" t="s">
        <v>597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598</v>
      </c>
      <c r="D198" s="8">
        <v>795</v>
      </c>
      <c r="E198" s="8" t="s">
        <v>395</v>
      </c>
      <c r="F198" s="8" t="s">
        <v>599</v>
      </c>
      <c r="G198" s="8" t="s">
        <v>35</v>
      </c>
      <c r="H198" s="8" t="s">
        <v>600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601</v>
      </c>
      <c r="D199" s="8">
        <v>169</v>
      </c>
      <c r="E199" s="8" t="s">
        <v>183</v>
      </c>
      <c r="F199" s="8" t="s">
        <v>602</v>
      </c>
      <c r="G199" s="8" t="s">
        <v>35</v>
      </c>
      <c r="H199" s="8" t="s">
        <v>600</v>
      </c>
      <c r="I199" s="9">
        <v>42248</v>
      </c>
    </row>
    <row r="200" spans="1:9" x14ac:dyDescent="0.3">
      <c r="A200" s="8" t="s">
        <v>603</v>
      </c>
      <c r="B200" s="8" t="s">
        <v>295</v>
      </c>
      <c r="C200" s="8" t="s">
        <v>604</v>
      </c>
      <c r="D200" s="8">
        <v>860</v>
      </c>
      <c r="E200" s="8" t="s">
        <v>605</v>
      </c>
      <c r="F200" s="8" t="s">
        <v>606</v>
      </c>
      <c r="G200" s="8" t="s">
        <v>35</v>
      </c>
      <c r="H200" s="8" t="s">
        <v>607</v>
      </c>
      <c r="I200" s="9">
        <v>45754</v>
      </c>
    </row>
    <row r="201" spans="1:9" x14ac:dyDescent="0.3">
      <c r="A201" s="8" t="s">
        <v>603</v>
      </c>
      <c r="B201" s="8" t="s">
        <v>295</v>
      </c>
      <c r="C201" s="8" t="s">
        <v>608</v>
      </c>
      <c r="D201" s="8">
        <v>826</v>
      </c>
      <c r="E201" s="8" t="s">
        <v>609</v>
      </c>
      <c r="F201" s="8" t="s">
        <v>610</v>
      </c>
      <c r="G201" s="8" t="s">
        <v>35</v>
      </c>
      <c r="H201" s="8" t="s">
        <v>607</v>
      </c>
      <c r="I201" s="9">
        <v>45705</v>
      </c>
    </row>
    <row r="202" spans="1:9" x14ac:dyDescent="0.3">
      <c r="A202" s="8" t="s">
        <v>603</v>
      </c>
      <c r="B202" s="8" t="s">
        <v>295</v>
      </c>
      <c r="C202" s="8" t="s">
        <v>611</v>
      </c>
      <c r="D202" s="8">
        <v>905</v>
      </c>
      <c r="E202" s="8" t="s">
        <v>612</v>
      </c>
      <c r="F202" s="8" t="s">
        <v>613</v>
      </c>
      <c r="G202" s="8" t="s">
        <v>35</v>
      </c>
      <c r="H202" s="8" t="s">
        <v>607</v>
      </c>
      <c r="I202" s="9">
        <v>45873</v>
      </c>
    </row>
    <row r="203" spans="1:9" x14ac:dyDescent="0.3">
      <c r="A203" s="8" t="s">
        <v>603</v>
      </c>
      <c r="B203" s="8" t="s">
        <v>295</v>
      </c>
      <c r="C203" s="8" t="s">
        <v>614</v>
      </c>
      <c r="D203" s="8">
        <v>915</v>
      </c>
      <c r="E203" s="8" t="s">
        <v>615</v>
      </c>
      <c r="F203" s="8" t="s">
        <v>467</v>
      </c>
      <c r="G203" s="8" t="s">
        <v>35</v>
      </c>
      <c r="H203" s="8" t="s">
        <v>607</v>
      </c>
      <c r="I203" s="9">
        <v>45901</v>
      </c>
    </row>
    <row r="204" spans="1:9" x14ac:dyDescent="0.3">
      <c r="A204" s="8" t="s">
        <v>616</v>
      </c>
      <c r="B204" s="8" t="s">
        <v>616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x14ac:dyDescent="0.3">
      <c r="A205" s="8" t="s">
        <v>616</v>
      </c>
      <c r="B205" s="8" t="s">
        <v>616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x14ac:dyDescent="0.3">
      <c r="A206" s="8" t="s">
        <v>616</v>
      </c>
      <c r="B206" s="8" t="s">
        <v>616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x14ac:dyDescent="0.3">
      <c r="A207" s="8" t="s">
        <v>616</v>
      </c>
      <c r="B207" s="8" t="s">
        <v>616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x14ac:dyDescent="0.3">
      <c r="A208" s="8" t="s">
        <v>616</v>
      </c>
      <c r="B208" s="8" t="s">
        <v>616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x14ac:dyDescent="0.3">
      <c r="A209" s="8" t="s">
        <v>616</v>
      </c>
      <c r="B209" s="8" t="s">
        <v>616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x14ac:dyDescent="0.3">
      <c r="A210" s="8" t="s">
        <v>616</v>
      </c>
      <c r="B210" s="8" t="s">
        <v>616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x14ac:dyDescent="0.3">
      <c r="A211" s="8" t="s">
        <v>616</v>
      </c>
      <c r="B211" s="8" t="s">
        <v>616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x14ac:dyDescent="0.3">
      <c r="A212" s="8" t="s">
        <v>616</v>
      </c>
      <c r="B212" s="8" t="s">
        <v>616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522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518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x14ac:dyDescent="0.3">
      <c r="A240" s="8" t="s">
        <v>70</v>
      </c>
      <c r="B240" s="8" t="s">
        <v>70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x14ac:dyDescent="0.3">
      <c r="A241" s="8" t="s">
        <v>70</v>
      </c>
      <c r="B241" s="8" t="s">
        <v>70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x14ac:dyDescent="0.3">
      <c r="A242" s="8" t="s">
        <v>70</v>
      </c>
      <c r="B242" s="8" t="s">
        <v>70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70</v>
      </c>
      <c r="B243" s="8" t="s">
        <v>70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x14ac:dyDescent="0.3">
      <c r="A244" s="8" t="s">
        <v>70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x14ac:dyDescent="0.3">
      <c r="A245" s="8" t="s">
        <v>70</v>
      </c>
      <c r="B245" s="8" t="s">
        <v>48</v>
      </c>
      <c r="C245" s="8" t="s">
        <v>727</v>
      </c>
      <c r="D245" s="10" t="s">
        <v>728</v>
      </c>
      <c r="E245" s="8" t="s">
        <v>571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x14ac:dyDescent="0.3">
      <c r="A246" s="8" t="s">
        <v>70</v>
      </c>
      <c r="B246" s="8" t="s">
        <v>48</v>
      </c>
      <c r="C246" s="8" t="s">
        <v>730</v>
      </c>
      <c r="D246" s="10" t="s">
        <v>731</v>
      </c>
      <c r="E246" s="8" t="s">
        <v>575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x14ac:dyDescent="0.3">
      <c r="A247" s="8" t="s">
        <v>70</v>
      </c>
      <c r="B247" s="8" t="s">
        <v>48</v>
      </c>
      <c r="C247" s="8" t="s">
        <v>733</v>
      </c>
      <c r="D247" s="10" t="s">
        <v>734</v>
      </c>
      <c r="E247" s="8" t="s">
        <v>616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x14ac:dyDescent="0.3">
      <c r="A248" s="8" t="s">
        <v>424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426</v>
      </c>
      <c r="I248" s="9">
        <v>45789</v>
      </c>
    </row>
    <row r="249" spans="1:9" x14ac:dyDescent="0.3">
      <c r="A249" s="8" t="s">
        <v>424</v>
      </c>
      <c r="B249" s="8" t="s">
        <v>183</v>
      </c>
      <c r="C249" s="8" t="s">
        <v>739</v>
      </c>
      <c r="D249" s="8">
        <v>783</v>
      </c>
      <c r="E249" s="8" t="s">
        <v>740</v>
      </c>
      <c r="F249" s="8" t="s">
        <v>738</v>
      </c>
      <c r="G249" s="8" t="s">
        <v>35</v>
      </c>
      <c r="H249" s="8" t="s">
        <v>426</v>
      </c>
      <c r="I249" s="9">
        <v>45600</v>
      </c>
    </row>
    <row r="250" spans="1:9" x14ac:dyDescent="0.3">
      <c r="A250" s="8" t="s">
        <v>424</v>
      </c>
      <c r="B250" s="8" t="s">
        <v>183</v>
      </c>
      <c r="C250" s="8" t="s">
        <v>741</v>
      </c>
      <c r="D250" s="8">
        <v>784</v>
      </c>
      <c r="E250" s="8" t="s">
        <v>742</v>
      </c>
      <c r="F250" s="8" t="s">
        <v>743</v>
      </c>
      <c r="G250" s="8" t="s">
        <v>35</v>
      </c>
      <c r="H250" s="8" t="s">
        <v>426</v>
      </c>
      <c r="I250" s="9">
        <v>45600</v>
      </c>
    </row>
    <row r="251" spans="1:9" x14ac:dyDescent="0.3">
      <c r="A251" s="8" t="s">
        <v>744</v>
      </c>
      <c r="B251" s="8" t="s">
        <v>744</v>
      </c>
      <c r="C251" s="8" t="s">
        <v>745</v>
      </c>
      <c r="D251" s="8">
        <v>871</v>
      </c>
      <c r="E251" s="8" t="s">
        <v>746</v>
      </c>
      <c r="F251" s="8" t="s">
        <v>747</v>
      </c>
      <c r="G251" s="8" t="s">
        <v>35</v>
      </c>
      <c r="H251" s="8" t="s">
        <v>748</v>
      </c>
      <c r="I251" s="9">
        <v>45782</v>
      </c>
    </row>
    <row r="252" spans="1:9" x14ac:dyDescent="0.3">
      <c r="A252" s="8" t="s">
        <v>744</v>
      </c>
      <c r="B252" s="8" t="s">
        <v>744</v>
      </c>
      <c r="C252" s="8" t="s">
        <v>749</v>
      </c>
      <c r="D252" s="8">
        <v>899</v>
      </c>
      <c r="E252" s="8" t="s">
        <v>750</v>
      </c>
      <c r="F252" s="8" t="s">
        <v>747</v>
      </c>
      <c r="G252" s="8" t="s">
        <v>35</v>
      </c>
      <c r="H252" s="8" t="s">
        <v>748</v>
      </c>
      <c r="I252" s="9">
        <v>45873</v>
      </c>
    </row>
    <row r="253" spans="1:9" x14ac:dyDescent="0.3">
      <c r="A253" s="8" t="s">
        <v>744</v>
      </c>
      <c r="B253" s="8" t="s">
        <v>744</v>
      </c>
      <c r="C253" s="8" t="s">
        <v>751</v>
      </c>
      <c r="D253" s="8">
        <v>936</v>
      </c>
      <c r="E253" s="8" t="s">
        <v>752</v>
      </c>
      <c r="F253" s="8" t="s">
        <v>753</v>
      </c>
      <c r="G253" s="8" t="s">
        <v>35</v>
      </c>
      <c r="H253" s="8" t="s">
        <v>748</v>
      </c>
      <c r="I253" s="9">
        <v>45964</v>
      </c>
    </row>
    <row r="254" spans="1:9" x14ac:dyDescent="0.3">
      <c r="A254" s="8" t="s">
        <v>744</v>
      </c>
      <c r="B254" s="8" t="s">
        <v>295</v>
      </c>
      <c r="C254" s="8" t="s">
        <v>754</v>
      </c>
      <c r="D254" s="8">
        <v>672</v>
      </c>
      <c r="E254" s="8" t="s">
        <v>755</v>
      </c>
      <c r="F254" s="8" t="s">
        <v>756</v>
      </c>
      <c r="G254" s="8" t="s">
        <v>35</v>
      </c>
      <c r="H254" s="8" t="s">
        <v>748</v>
      </c>
      <c r="I254" s="9">
        <v>45323</v>
      </c>
    </row>
    <row r="255" spans="1:9" x14ac:dyDescent="0.3">
      <c r="A255" s="8" t="s">
        <v>744</v>
      </c>
      <c r="B255" s="8" t="s">
        <v>744</v>
      </c>
      <c r="C255" s="8" t="s">
        <v>757</v>
      </c>
      <c r="D255" s="8">
        <v>706</v>
      </c>
      <c r="E255" s="8" t="s">
        <v>758</v>
      </c>
      <c r="F255" s="8" t="s">
        <v>756</v>
      </c>
      <c r="G255" s="8" t="s">
        <v>35</v>
      </c>
      <c r="H255" s="8" t="s">
        <v>748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759</v>
      </c>
      <c r="D256" s="10" t="s">
        <v>760</v>
      </c>
      <c r="E256" s="8" t="s">
        <v>71</v>
      </c>
      <c r="F256" s="8" t="s">
        <v>761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762</v>
      </c>
      <c r="D257" s="8">
        <v>487</v>
      </c>
      <c r="E257" s="8" t="s">
        <v>111</v>
      </c>
      <c r="F257" s="8" t="s">
        <v>761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763</v>
      </c>
      <c r="D258" s="10" t="s">
        <v>764</v>
      </c>
      <c r="E258" s="8" t="s">
        <v>215</v>
      </c>
      <c r="F258" s="8" t="s">
        <v>761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765</v>
      </c>
      <c r="D259" s="8">
        <v>891</v>
      </c>
      <c r="E259" s="8" t="s">
        <v>332</v>
      </c>
      <c r="F259" s="8" t="s">
        <v>761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766</v>
      </c>
      <c r="D260" s="8">
        <v>856</v>
      </c>
      <c r="E260" s="8" t="s">
        <v>603</v>
      </c>
      <c r="F260" s="8" t="s">
        <v>473</v>
      </c>
      <c r="G260" s="8" t="s">
        <v>35</v>
      </c>
      <c r="H260" s="8" t="s">
        <v>607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767</v>
      </c>
      <c r="D261" s="8">
        <v>794</v>
      </c>
      <c r="E261" s="8" t="s">
        <v>768</v>
      </c>
      <c r="F261" s="8" t="s">
        <v>769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770</v>
      </c>
      <c r="D262" s="8">
        <v>538</v>
      </c>
      <c r="E262" s="8" t="s">
        <v>771</v>
      </c>
      <c r="F262" s="8" t="s">
        <v>769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772</v>
      </c>
      <c r="D263" s="8">
        <v>950</v>
      </c>
      <c r="E263" s="8" t="s">
        <v>773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774</v>
      </c>
      <c r="D264" s="8">
        <v>548</v>
      </c>
      <c r="E264" s="8" t="s">
        <v>366</v>
      </c>
      <c r="F264" s="8" t="s">
        <v>775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643</v>
      </c>
      <c r="B275" s="8" t="s">
        <v>643</v>
      </c>
      <c r="C275" s="8" t="s">
        <v>803</v>
      </c>
      <c r="D275" s="8">
        <v>720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45460</v>
      </c>
    </row>
    <row r="276" spans="1:9" x14ac:dyDescent="0.3">
      <c r="A276" s="8" t="s">
        <v>643</v>
      </c>
      <c r="B276" s="8" t="s">
        <v>643</v>
      </c>
      <c r="C276" s="8" t="s">
        <v>805</v>
      </c>
      <c r="D276" s="8">
        <v>940</v>
      </c>
      <c r="E276" s="8" t="s">
        <v>806</v>
      </c>
      <c r="F276" s="8" t="s">
        <v>305</v>
      </c>
      <c r="G276" s="8" t="s">
        <v>35</v>
      </c>
      <c r="H276" s="8" t="s">
        <v>289</v>
      </c>
      <c r="I276" s="9">
        <v>45978</v>
      </c>
    </row>
    <row r="277" spans="1:9" x14ac:dyDescent="0.3">
      <c r="A277" s="8" t="s">
        <v>643</v>
      </c>
      <c r="B277" s="8" t="s">
        <v>643</v>
      </c>
      <c r="C277" s="8" t="s">
        <v>807</v>
      </c>
      <c r="D277" s="8">
        <v>687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45357</v>
      </c>
    </row>
    <row r="278" spans="1:9" x14ac:dyDescent="0.3">
      <c r="A278" s="8" t="s">
        <v>643</v>
      </c>
      <c r="B278" s="8" t="s">
        <v>643</v>
      </c>
      <c r="C278" s="8" t="s">
        <v>809</v>
      </c>
      <c r="D278" s="8">
        <v>623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45154</v>
      </c>
    </row>
    <row r="279" spans="1:9" x14ac:dyDescent="0.3">
      <c r="A279" s="8" t="s">
        <v>643</v>
      </c>
      <c r="B279" s="8" t="s">
        <v>643</v>
      </c>
      <c r="C279" s="8" t="s">
        <v>811</v>
      </c>
      <c r="D279" s="8">
        <v>792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45628</v>
      </c>
    </row>
    <row r="280" spans="1:9" x14ac:dyDescent="0.3">
      <c r="A280" s="8" t="s">
        <v>643</v>
      </c>
      <c r="B280" s="8" t="s">
        <v>643</v>
      </c>
      <c r="C280" s="8" t="s">
        <v>813</v>
      </c>
      <c r="D280" s="8">
        <v>771</v>
      </c>
      <c r="E280" s="8" t="s">
        <v>814</v>
      </c>
      <c r="F280" s="8" t="s">
        <v>312</v>
      </c>
      <c r="G280" s="8" t="s">
        <v>35</v>
      </c>
      <c r="H280" s="8" t="s">
        <v>289</v>
      </c>
      <c r="I280" s="9">
        <v>45566</v>
      </c>
    </row>
    <row r="281" spans="1:9" x14ac:dyDescent="0.3">
      <c r="A281" s="8" t="s">
        <v>643</v>
      </c>
      <c r="B281" s="8" t="s">
        <v>643</v>
      </c>
      <c r="C281" s="8" t="s">
        <v>815</v>
      </c>
      <c r="D281" s="8">
        <v>711</v>
      </c>
      <c r="E281" s="8" t="s">
        <v>816</v>
      </c>
      <c r="F281" s="8" t="s">
        <v>463</v>
      </c>
      <c r="G281" s="8" t="s">
        <v>35</v>
      </c>
      <c r="H281" s="8" t="s">
        <v>289</v>
      </c>
      <c r="I281" s="9">
        <v>45446</v>
      </c>
    </row>
    <row r="282" spans="1:9" x14ac:dyDescent="0.3">
      <c r="A282" s="8" t="s">
        <v>643</v>
      </c>
      <c r="B282" s="8" t="s">
        <v>643</v>
      </c>
      <c r="C282" s="8" t="s">
        <v>817</v>
      </c>
      <c r="D282" s="8">
        <v>874</v>
      </c>
      <c r="E282" s="8" t="s">
        <v>818</v>
      </c>
      <c r="F282" s="8" t="s">
        <v>463</v>
      </c>
      <c r="G282" s="8" t="s">
        <v>35</v>
      </c>
      <c r="H282" s="11" t="s">
        <v>289</v>
      </c>
      <c r="I282" s="9">
        <v>45782</v>
      </c>
    </row>
    <row r="283" spans="1:9" x14ac:dyDescent="0.3">
      <c r="A283" s="8" t="s">
        <v>643</v>
      </c>
      <c r="B283" s="8" t="s">
        <v>643</v>
      </c>
      <c r="C283" s="8" t="s">
        <v>819</v>
      </c>
      <c r="D283" s="8">
        <v>875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45782</v>
      </c>
    </row>
    <row r="284" spans="1:9" x14ac:dyDescent="0.3">
      <c r="A284" s="8" t="s">
        <v>643</v>
      </c>
      <c r="B284" s="8" t="s">
        <v>643</v>
      </c>
      <c r="C284" s="8" t="s">
        <v>821</v>
      </c>
      <c r="D284" s="8">
        <v>852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45722</v>
      </c>
    </row>
    <row r="285" spans="1:9" x14ac:dyDescent="0.3">
      <c r="A285" s="8" t="s">
        <v>643</v>
      </c>
      <c r="B285" s="8" t="s">
        <v>643</v>
      </c>
      <c r="C285" s="8" t="s">
        <v>823</v>
      </c>
      <c r="D285" s="8">
        <v>790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45628</v>
      </c>
    </row>
    <row r="286" spans="1:9" x14ac:dyDescent="0.3">
      <c r="A286" s="8" t="s">
        <v>643</v>
      </c>
      <c r="B286" s="8" t="s">
        <v>643</v>
      </c>
      <c r="C286" s="8" t="s">
        <v>825</v>
      </c>
      <c r="D286" s="8">
        <v>847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45722</v>
      </c>
    </row>
    <row r="287" spans="1:9" x14ac:dyDescent="0.3">
      <c r="A287" s="8" t="s">
        <v>643</v>
      </c>
      <c r="B287" s="8" t="s">
        <v>643</v>
      </c>
      <c r="C287" s="8" t="s">
        <v>827</v>
      </c>
      <c r="D287" s="8">
        <v>939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45966</v>
      </c>
    </row>
    <row r="288" spans="1:9" x14ac:dyDescent="0.3">
      <c r="A288" s="8" t="s">
        <v>643</v>
      </c>
      <c r="B288" s="8" t="s">
        <v>643</v>
      </c>
      <c r="C288" s="8" t="s">
        <v>829</v>
      </c>
      <c r="D288" s="8">
        <v>753</v>
      </c>
      <c r="E288" s="8" t="s">
        <v>830</v>
      </c>
      <c r="F288" s="8" t="s">
        <v>463</v>
      </c>
      <c r="G288" s="8" t="s">
        <v>35</v>
      </c>
      <c r="H288" s="8" t="s">
        <v>289</v>
      </c>
      <c r="I288" s="9">
        <v>45520</v>
      </c>
    </row>
    <row r="289" spans="1:9" x14ac:dyDescent="0.3">
      <c r="A289" s="8" t="s">
        <v>643</v>
      </c>
      <c r="B289" s="8" t="s">
        <v>643</v>
      </c>
      <c r="C289" s="8" t="s">
        <v>831</v>
      </c>
      <c r="D289" s="8">
        <v>828</v>
      </c>
      <c r="E289" s="8" t="s">
        <v>832</v>
      </c>
      <c r="F289" s="8" t="s">
        <v>467</v>
      </c>
      <c r="G289" s="8" t="s">
        <v>35</v>
      </c>
      <c r="H289" s="8" t="s">
        <v>345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"/>
  <sheetViews>
    <sheetView workbookViewId="0">
      <selection activeCell="C13" sqref="C13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26.88671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ht="14.4" x14ac:dyDescent="0.3">
      <c r="A1" s="4" t="s">
        <v>833</v>
      </c>
      <c r="B1" s="4" t="s">
        <v>834</v>
      </c>
      <c r="C1" s="4" t="s">
        <v>835</v>
      </c>
      <c r="D1" s="4" t="s">
        <v>2</v>
      </c>
      <c r="E1" s="4" t="s">
        <v>836</v>
      </c>
      <c r="F1" s="4" t="s">
        <v>837</v>
      </c>
      <c r="G1" s="4" t="s">
        <v>838</v>
      </c>
      <c r="H1" s="4" t="s">
        <v>839</v>
      </c>
      <c r="I1" s="4" t="s">
        <v>840</v>
      </c>
      <c r="J1" s="4" t="s">
        <v>841</v>
      </c>
      <c r="K1" s="4" t="s">
        <v>842</v>
      </c>
      <c r="L1" s="4" t="s">
        <v>843</v>
      </c>
      <c r="M1" s="4" t="s">
        <v>844</v>
      </c>
      <c r="N1" s="4" t="s">
        <v>845</v>
      </c>
      <c r="O1" s="4" t="s">
        <v>846</v>
      </c>
      <c r="P1" s="4" t="s">
        <v>847</v>
      </c>
      <c r="Q1" s="4" t="s">
        <v>848</v>
      </c>
    </row>
    <row r="2" spans="1:17" ht="14.4" x14ac:dyDescent="0.3">
      <c r="A2" s="12" t="s">
        <v>849</v>
      </c>
      <c r="B2" s="12" t="s">
        <v>424</v>
      </c>
      <c r="C2" s="12" t="s">
        <v>737</v>
      </c>
      <c r="D2" s="12"/>
      <c r="E2" s="12" t="s">
        <v>850</v>
      </c>
      <c r="F2" s="13"/>
      <c r="G2" s="12" t="s">
        <v>850</v>
      </c>
      <c r="H2" s="13"/>
      <c r="I2" s="12" t="s">
        <v>850</v>
      </c>
      <c r="J2" s="13"/>
      <c r="K2" s="12" t="s">
        <v>850</v>
      </c>
      <c r="L2" s="13"/>
      <c r="M2" s="12" t="s">
        <v>742</v>
      </c>
      <c r="N2" s="12" t="s">
        <v>740</v>
      </c>
      <c r="O2" s="12" t="str">
        <f>IF(TabelaRespostas[[#This Row],[Momento do Envio]]&gt;=1,"SIM","NÃO")</f>
        <v>SIM</v>
      </c>
      <c r="P2" s="12" t="s">
        <v>851</v>
      </c>
      <c r="Q2" s="12"/>
    </row>
    <row r="3" spans="1:17" ht="14.4" x14ac:dyDescent="0.3">
      <c r="A3" s="12" t="s">
        <v>849</v>
      </c>
      <c r="B3" s="12" t="s">
        <v>424</v>
      </c>
      <c r="C3" s="12" t="s">
        <v>740</v>
      </c>
      <c r="D3" s="12"/>
      <c r="E3" s="12" t="s">
        <v>850</v>
      </c>
      <c r="F3" s="13"/>
      <c r="G3" s="12" t="s">
        <v>850</v>
      </c>
      <c r="H3" s="13"/>
      <c r="I3" s="12" t="s">
        <v>850</v>
      </c>
      <c r="J3" s="13"/>
      <c r="K3" s="12" t="s">
        <v>850</v>
      </c>
      <c r="L3" s="13"/>
      <c r="M3" s="12" t="s">
        <v>737</v>
      </c>
      <c r="N3" s="12" t="s">
        <v>742</v>
      </c>
      <c r="O3" s="12" t="str">
        <f>IF(TabelaRespostas[[#This Row],[Momento do Envio]]&gt;=1,"SIM","NÃO")</f>
        <v>SIM</v>
      </c>
      <c r="P3" s="12" t="s">
        <v>851</v>
      </c>
      <c r="Q3" s="12"/>
    </row>
    <row r="4" spans="1:17" ht="14.4" x14ac:dyDescent="0.3">
      <c r="A4" s="12" t="s">
        <v>849</v>
      </c>
      <c r="B4" s="12" t="s">
        <v>424</v>
      </c>
      <c r="C4" s="12" t="s">
        <v>742</v>
      </c>
      <c r="D4" s="12"/>
      <c r="E4" s="12" t="s">
        <v>850</v>
      </c>
      <c r="F4" s="13"/>
      <c r="G4" s="12" t="s">
        <v>850</v>
      </c>
      <c r="H4" s="13"/>
      <c r="I4" s="12" t="s">
        <v>850</v>
      </c>
      <c r="J4" s="13"/>
      <c r="K4" s="12" t="s">
        <v>850</v>
      </c>
      <c r="L4" s="13"/>
      <c r="M4" s="12" t="s">
        <v>740</v>
      </c>
      <c r="N4" s="12" t="s">
        <v>737</v>
      </c>
      <c r="O4" s="12" t="str">
        <f>IF(TabelaRespostas[[#This Row],[Momento do Envio]]&gt;=1,"SIM","NÃO")</f>
        <v>SIM</v>
      </c>
      <c r="P4" s="12" t="s">
        <v>851</v>
      </c>
      <c r="Q4" s="12"/>
    </row>
    <row r="5" spans="1:17" ht="14.4" x14ac:dyDescent="0.3">
      <c r="A5" s="12" t="s">
        <v>852</v>
      </c>
      <c r="B5" s="12" t="s">
        <v>502</v>
      </c>
      <c r="C5" s="12" t="s">
        <v>555</v>
      </c>
      <c r="D5" s="12"/>
      <c r="E5" s="12" t="s">
        <v>850</v>
      </c>
      <c r="F5" s="13"/>
      <c r="G5" s="12" t="s">
        <v>850</v>
      </c>
      <c r="H5" s="13"/>
      <c r="I5" s="12" t="s">
        <v>850</v>
      </c>
      <c r="J5" s="13"/>
      <c r="K5" s="12" t="s">
        <v>850</v>
      </c>
      <c r="L5" s="13"/>
      <c r="M5" s="12" t="s">
        <v>557</v>
      </c>
      <c r="N5" s="12" t="s">
        <v>559</v>
      </c>
      <c r="O5" s="12" t="str">
        <f>IF(TabelaRespostas[[#This Row],[Momento do Envio]]&gt;=1,"SIM","NÃO")</f>
        <v>SIM</v>
      </c>
      <c r="P5" s="12" t="s">
        <v>853</v>
      </c>
      <c r="Q5" s="12"/>
    </row>
    <row r="6" spans="1:17" ht="15" customHeight="1" x14ac:dyDescent="0.3">
      <c r="A6" s="12" t="s">
        <v>852</v>
      </c>
      <c r="B6" s="12" t="s">
        <v>502</v>
      </c>
      <c r="C6" s="12" t="s">
        <v>557</v>
      </c>
      <c r="D6" s="12"/>
      <c r="E6" s="12" t="s">
        <v>850</v>
      </c>
      <c r="F6" s="13"/>
      <c r="G6" s="12" t="s">
        <v>850</v>
      </c>
      <c r="H6" s="13"/>
      <c r="I6" s="12" t="s">
        <v>850</v>
      </c>
      <c r="J6" s="13"/>
      <c r="K6" s="12" t="s">
        <v>850</v>
      </c>
      <c r="L6" s="13"/>
      <c r="M6" s="12" t="s">
        <v>555</v>
      </c>
      <c r="N6" s="12" t="s">
        <v>559</v>
      </c>
      <c r="O6" s="12" t="str">
        <f>IF(TabelaRespostas[[#This Row],[Momento do Envio]]&gt;=1,"SIM","NÃO")</f>
        <v>SIM</v>
      </c>
      <c r="P6" s="12" t="s">
        <v>853</v>
      </c>
      <c r="Q6" s="12"/>
    </row>
    <row r="7" spans="1:17" ht="15" customHeight="1" x14ac:dyDescent="0.3">
      <c r="A7" s="12" t="s">
        <v>852</v>
      </c>
      <c r="B7" s="12" t="s">
        <v>502</v>
      </c>
      <c r="C7" s="12" t="s">
        <v>559</v>
      </c>
      <c r="D7" s="12"/>
      <c r="E7" s="12" t="s">
        <v>850</v>
      </c>
      <c r="F7" s="13"/>
      <c r="G7" s="12" t="s">
        <v>850</v>
      </c>
      <c r="H7" s="13"/>
      <c r="I7" s="12" t="s">
        <v>850</v>
      </c>
      <c r="J7" s="13"/>
      <c r="K7" s="12" t="s">
        <v>850</v>
      </c>
      <c r="L7" s="13"/>
      <c r="M7" s="12" t="s">
        <v>557</v>
      </c>
      <c r="N7" s="12" t="s">
        <v>555</v>
      </c>
      <c r="O7" s="12" t="str">
        <f>IF(TabelaRespostas[[#This Row],[Momento do Envio]]&gt;=1,"SIM","NÃO")</f>
        <v>SIM</v>
      </c>
      <c r="P7" s="12" t="s">
        <v>853</v>
      </c>
      <c r="Q7" s="12"/>
    </row>
    <row r="8" spans="1:17" ht="15" customHeight="1" x14ac:dyDescent="0.3">
      <c r="A8" s="12" t="s">
        <v>854</v>
      </c>
      <c r="B8" s="12" t="s">
        <v>255</v>
      </c>
      <c r="C8" s="12" t="s">
        <v>257</v>
      </c>
      <c r="D8" s="12"/>
      <c r="E8" s="12" t="s">
        <v>850</v>
      </c>
      <c r="F8" s="13"/>
      <c r="G8" s="12" t="s">
        <v>850</v>
      </c>
      <c r="H8" s="13"/>
      <c r="I8" s="12" t="s">
        <v>850</v>
      </c>
      <c r="J8" s="13"/>
      <c r="K8" s="12" t="s">
        <v>850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855</v>
      </c>
      <c r="Q8" s="12"/>
    </row>
    <row r="9" spans="1:17" ht="15" customHeight="1" x14ac:dyDescent="0.3">
      <c r="A9" s="12" t="s">
        <v>854</v>
      </c>
      <c r="B9" s="12" t="s">
        <v>255</v>
      </c>
      <c r="C9" s="12" t="s">
        <v>261</v>
      </c>
      <c r="D9" s="12"/>
      <c r="E9" s="12" t="s">
        <v>850</v>
      </c>
      <c r="F9" s="13"/>
      <c r="G9" s="12" t="s">
        <v>850</v>
      </c>
      <c r="H9" s="13"/>
      <c r="I9" s="12" t="s">
        <v>850</v>
      </c>
      <c r="J9" s="13"/>
      <c r="K9" s="12" t="s">
        <v>850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855</v>
      </c>
      <c r="Q9" s="12"/>
    </row>
    <row r="10" spans="1:17" ht="15" customHeight="1" x14ac:dyDescent="0.3">
      <c r="A10" s="12" t="s">
        <v>854</v>
      </c>
      <c r="B10" s="12" t="s">
        <v>255</v>
      </c>
      <c r="C10" s="12" t="s">
        <v>263</v>
      </c>
      <c r="D10" s="12"/>
      <c r="E10" s="12" t="s">
        <v>850</v>
      </c>
      <c r="F10" s="13"/>
      <c r="G10" s="12" t="s">
        <v>850</v>
      </c>
      <c r="H10" s="13"/>
      <c r="I10" s="12" t="s">
        <v>850</v>
      </c>
      <c r="J10" s="13"/>
      <c r="K10" s="12" t="s">
        <v>850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855</v>
      </c>
      <c r="Q10" s="12"/>
    </row>
    <row r="11" spans="1:17" ht="15" customHeight="1" x14ac:dyDescent="0.3">
      <c r="A11" s="12" t="s">
        <v>854</v>
      </c>
      <c r="B11" s="12" t="s">
        <v>255</v>
      </c>
      <c r="C11" s="12" t="s">
        <v>266</v>
      </c>
      <c r="D11" s="12"/>
      <c r="E11" s="12" t="s">
        <v>850</v>
      </c>
      <c r="F11" s="13"/>
      <c r="G11" s="12" t="s">
        <v>850</v>
      </c>
      <c r="H11" s="13"/>
      <c r="I11" s="12" t="s">
        <v>850</v>
      </c>
      <c r="J11" s="13"/>
      <c r="K11" s="12" t="s">
        <v>850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855</v>
      </c>
      <c r="Q11" s="12"/>
    </row>
    <row r="12" spans="1:17" ht="15" customHeight="1" x14ac:dyDescent="0.3">
      <c r="A12" s="12" t="s">
        <v>854</v>
      </c>
      <c r="B12" s="12" t="s">
        <v>255</v>
      </c>
      <c r="C12" s="12" t="s">
        <v>269</v>
      </c>
      <c r="D12" s="12"/>
      <c r="E12" s="12" t="s">
        <v>850</v>
      </c>
      <c r="F12" s="13"/>
      <c r="G12" s="12" t="s">
        <v>850</v>
      </c>
      <c r="H12" s="13"/>
      <c r="I12" s="12" t="s">
        <v>850</v>
      </c>
      <c r="J12" s="13"/>
      <c r="K12" s="12" t="s">
        <v>850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855</v>
      </c>
      <c r="Q12" s="12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5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856</v>
      </c>
      <c r="C1" t="s">
        <v>857</v>
      </c>
      <c r="D1">
        <f>D3-D2</f>
        <v>58</v>
      </c>
    </row>
    <row r="2" spans="1:4" x14ac:dyDescent="0.3">
      <c r="A2" s="5" t="s">
        <v>834</v>
      </c>
      <c r="B2">
        <f>COUNTA(A:A)-2</f>
        <v>2</v>
      </c>
      <c r="C2" t="s">
        <v>858</v>
      </c>
      <c r="D2">
        <f>B2</f>
        <v>2</v>
      </c>
    </row>
    <row r="3" spans="1:4" x14ac:dyDescent="0.3">
      <c r="A3" t="s">
        <v>424</v>
      </c>
      <c r="C3" t="s">
        <v>859</v>
      </c>
      <c r="D3">
        <f>COUNTA(_xlfn.UNIQUE(Base_Dados!A:A))-1</f>
        <v>60</v>
      </c>
    </row>
    <row r="4" spans="1:4" x14ac:dyDescent="0.3">
      <c r="A4" t="s">
        <v>502</v>
      </c>
    </row>
    <row r="5" spans="1:4" x14ac:dyDescent="0.3">
      <c r="A5" t="s">
        <v>860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Z44" sqref="Z4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861</v>
      </c>
    </row>
    <row r="2" spans="1:1" x14ac:dyDescent="0.3">
      <c r="A2" s="7" t="str" cm="1">
        <f t="array" ref="A2:A57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ALINE DE GOES CAMARGO</v>
      </c>
    </row>
    <row r="5" spans="1:1" x14ac:dyDescent="0.3">
      <c r="A5" s="7" t="str">
        <v>ALTAIR DE JESUS VILAR GUIMARAES</v>
      </c>
    </row>
    <row r="6" spans="1:1" x14ac:dyDescent="0.3">
      <c r="A6" s="7" t="str">
        <v>AMANDA MIRANDA DE CARVALHO</v>
      </c>
    </row>
    <row r="7" spans="1:1" x14ac:dyDescent="0.3">
      <c r="A7" s="7" t="str">
        <v>AMANDA STEFANI SOUSA DE ALMEIDA SANTOS</v>
      </c>
    </row>
    <row r="8" spans="1:1" x14ac:dyDescent="0.3">
      <c r="A8" s="7" t="str">
        <v>ANDRE NADDEO</v>
      </c>
    </row>
    <row r="9" spans="1:1" x14ac:dyDescent="0.3">
      <c r="A9" s="7" t="str">
        <v>ANDRESSA RODRIGUES MORATO MAIA</v>
      </c>
    </row>
    <row r="10" spans="1:1" x14ac:dyDescent="0.3">
      <c r="A10" s="7" t="str">
        <v>ANEDINA IZABEL DUARTE SOUZA</v>
      </c>
    </row>
    <row r="11" spans="1:1" x14ac:dyDescent="0.3">
      <c r="A11" s="7" t="str">
        <v>AQUILES VILAR MOTA GUIMARAES</v>
      </c>
    </row>
    <row r="12" spans="1:1" x14ac:dyDescent="0.3">
      <c r="A12" s="7" t="str">
        <v>BRAULIO PIOVEZANA RINCO</v>
      </c>
    </row>
    <row r="13" spans="1:1" x14ac:dyDescent="0.3">
      <c r="A13" s="7" t="str">
        <v>BRUNNA KAROLINE QUEIROZ RODRIGUES</v>
      </c>
    </row>
    <row r="14" spans="1:1" x14ac:dyDescent="0.3">
      <c r="A14" s="7" t="str">
        <v>BRUNO CASTRO METZKER</v>
      </c>
    </row>
    <row r="15" spans="1:1" x14ac:dyDescent="0.3">
      <c r="A15" s="7" t="str">
        <v>BRUNO NUNES DE SOUZA SANTOS</v>
      </c>
    </row>
    <row r="16" spans="1:1" x14ac:dyDescent="0.3">
      <c r="A16" s="7" t="str">
        <v>CAMILA DA SILVA ANDRADE</v>
      </c>
    </row>
    <row r="17" spans="1:1" x14ac:dyDescent="0.3">
      <c r="A17" s="7" t="str">
        <v>CARINE REIS DOS SANTOS</v>
      </c>
    </row>
    <row r="18" spans="1:1" x14ac:dyDescent="0.3">
      <c r="A18" s="7" t="str">
        <v>CATERINE NUNES BARBOSA</v>
      </c>
    </row>
    <row r="19" spans="1:1" x14ac:dyDescent="0.3">
      <c r="A19" s="7" t="str">
        <v>DANILO ALEXANDRE MONTEIRO DE CASTRO SABBAGH</v>
      </c>
    </row>
    <row r="20" spans="1:1" x14ac:dyDescent="0.3">
      <c r="A20" s="7" t="str">
        <v>DENIS GABRIEL ABREU DE MELO</v>
      </c>
    </row>
    <row r="21" spans="1:1" x14ac:dyDescent="0.3">
      <c r="A21" s="7" t="str">
        <v>DIEGO PIRES</v>
      </c>
    </row>
    <row r="22" spans="1:1" x14ac:dyDescent="0.3">
      <c r="A22" s="7" t="str">
        <v>ELIANE PEREIRA DA SILVA HIDALGO</v>
      </c>
    </row>
    <row r="23" spans="1:1" x14ac:dyDescent="0.3">
      <c r="A23" s="7" t="str">
        <v>ELISANGELA PEDRO RODRIGUES OLIVEIRA</v>
      </c>
    </row>
    <row r="24" spans="1:1" x14ac:dyDescent="0.3">
      <c r="A24" s="7" t="str">
        <v>ELISON GLAUBER DE CASTRO</v>
      </c>
    </row>
    <row r="25" spans="1:1" x14ac:dyDescent="0.3">
      <c r="A25" s="7" t="str">
        <v>FLAVIO HENRIQUE ALMEIDA FERREIRA DE MELO</v>
      </c>
    </row>
    <row r="26" spans="1:1" x14ac:dyDescent="0.3">
      <c r="A26" s="7" t="str">
        <v>GUSTAVO ARANDA DAMBROSKI</v>
      </c>
    </row>
    <row r="27" spans="1:1" x14ac:dyDescent="0.3">
      <c r="A27" s="7" t="str">
        <v>HAYNA CARDOSO PINTO</v>
      </c>
    </row>
    <row r="28" spans="1:1" x14ac:dyDescent="0.3">
      <c r="A28" s="7" t="str">
        <v>JEZI FERNANDO OLIVEIRA</v>
      </c>
    </row>
    <row r="29" spans="1:1" x14ac:dyDescent="0.3">
      <c r="A29" s="7" t="str">
        <v>KETTULY FERNANDA ALVES DE AMORIM SANTIAGO</v>
      </c>
    </row>
    <row r="30" spans="1:1" x14ac:dyDescent="0.3">
      <c r="A30" s="7" t="str">
        <v>LEON DOS REIS CALIXTO</v>
      </c>
    </row>
    <row r="31" spans="1:1" x14ac:dyDescent="0.3">
      <c r="A31" s="7" t="str">
        <v>LORRAYNE CRISTINE THEZA DO CARMO</v>
      </c>
    </row>
    <row r="32" spans="1:1" x14ac:dyDescent="0.3">
      <c r="A32" s="7" t="str">
        <v>LUCAS BICALHO DE FREITAS</v>
      </c>
    </row>
    <row r="33" spans="1:1" x14ac:dyDescent="0.3">
      <c r="A33" s="7" t="str">
        <v>LUCAS BUETTO DE ANGELIS</v>
      </c>
    </row>
    <row r="34" spans="1:1" x14ac:dyDescent="0.3">
      <c r="A34" s="7" t="str">
        <v>LUIS FERNANDO KALIL ROSENBURG DE CASTRO</v>
      </c>
    </row>
    <row r="35" spans="1:1" x14ac:dyDescent="0.3">
      <c r="A35" s="7" t="str">
        <v>LUÍS HENRIQUE SOARES DUTRA DE ANDRADE</v>
      </c>
    </row>
    <row r="36" spans="1:1" x14ac:dyDescent="0.3">
      <c r="A36" s="7" t="str">
        <v>MAIARA SCHWENGBER CORREA</v>
      </c>
    </row>
    <row r="37" spans="1:1" x14ac:dyDescent="0.3">
      <c r="A37" s="7" t="str">
        <v>MARCELA REGGIANI MORAES</v>
      </c>
    </row>
    <row r="38" spans="1:1" x14ac:dyDescent="0.3">
      <c r="A38" s="7" t="str">
        <v>MARIANA DE ALBUQUERQUE LOPES</v>
      </c>
    </row>
    <row r="39" spans="1:1" x14ac:dyDescent="0.3">
      <c r="A39" s="7" t="str">
        <v>MATHEUS ARTHUR FACHIN</v>
      </c>
    </row>
    <row r="40" spans="1:1" x14ac:dyDescent="0.3">
      <c r="A40" s="7" t="str">
        <v>RAMON BARCELOS VILAR GUIMARÃES</v>
      </c>
    </row>
    <row r="41" spans="1:1" x14ac:dyDescent="0.3">
      <c r="A41" s="7" t="str">
        <v>RAPHAEL AZEVEDO</v>
      </c>
    </row>
    <row r="42" spans="1:1" x14ac:dyDescent="0.3">
      <c r="A42" s="7" t="str">
        <v>RENNAN LUCIO DE MOURA</v>
      </c>
    </row>
    <row r="43" spans="1:1" x14ac:dyDescent="0.3">
      <c r="A43" s="7" t="str">
        <v>RENNAN VILAR GUIMARAES CASTRO ANTUNES</v>
      </c>
    </row>
    <row r="44" spans="1:1" x14ac:dyDescent="0.3">
      <c r="A44" s="7" t="str">
        <v>RICARDO ESTEVAO DE ALMEIDA</v>
      </c>
    </row>
    <row r="45" spans="1:1" x14ac:dyDescent="0.3">
      <c r="A45" s="7" t="str">
        <v>RODNEY DUARTE DOS SANTOS</v>
      </c>
    </row>
    <row r="46" spans="1:1" x14ac:dyDescent="0.3">
      <c r="A46" s="7" t="str">
        <v>RODRIGO ASSUMPÇÃO</v>
      </c>
    </row>
    <row r="47" spans="1:1" x14ac:dyDescent="0.3">
      <c r="A47" s="7" t="str">
        <v>RONALDO BRUNO DE SOUZA SANTOS</v>
      </c>
    </row>
    <row r="48" spans="1:1" x14ac:dyDescent="0.3">
      <c r="A48" s="7" t="str">
        <v>SAMUEL NUNES RIOS SILVA</v>
      </c>
    </row>
    <row r="49" spans="1:1" x14ac:dyDescent="0.3">
      <c r="A49" s="7" t="str">
        <v>SANDRO YUKIO YAMANO</v>
      </c>
    </row>
    <row r="50" spans="1:1" x14ac:dyDescent="0.3">
      <c r="A50" s="7" t="str">
        <v>STAEL MARLEI DE SOUZA E SILVA</v>
      </c>
    </row>
    <row r="51" spans="1:1" x14ac:dyDescent="0.3">
      <c r="A51" s="7" t="str">
        <v>TALES VILAR MOTA GUIMARAES</v>
      </c>
    </row>
    <row r="52" spans="1:1" x14ac:dyDescent="0.3">
      <c r="A52" s="7" t="str">
        <v>TIAGO DANIEL DE SOUZA</v>
      </c>
    </row>
    <row r="53" spans="1:1" x14ac:dyDescent="0.3">
      <c r="A53" s="7" t="str">
        <v>ULISSES LEANDRO CARVALHO FERREIRA</v>
      </c>
    </row>
    <row r="54" spans="1:1" x14ac:dyDescent="0.3">
      <c r="A54" s="7" t="str">
        <v>VANUZA DOS SANTOS PRESTES</v>
      </c>
    </row>
    <row r="55" spans="1:1" x14ac:dyDescent="0.3">
      <c r="A55" s="7" t="str">
        <v>VICTOR JOSE ALVES FERNANDES</v>
      </c>
    </row>
    <row r="56" spans="1:1" x14ac:dyDescent="0.3">
      <c r="A56" s="7" t="str">
        <v>WANDERSON LAGE</v>
      </c>
    </row>
    <row r="57" spans="1:1" x14ac:dyDescent="0.3">
      <c r="A57" s="7" t="str">
        <v>WELLYNGTON ALVES BORGES</v>
      </c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384E18-AB68-4DBB-8E5A-132AAEABE0F7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5a7fee-0375-4291-87e9-efb469dc66b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2026-03-31T12:25:34Z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
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9086DB2E-B452-4B24-AF5E-833C46120A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3" l="1"/>
  <c r="B2" i="5"/>
  <c r="A2" i="4" a="1"/>
  <c r="A2" i="4" s="1"/>
  <c r="D3" i="5"/>
  <c r="D1" i="5" s="1"/>
  <c r="D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<sst xmlns="http://schemas.openxmlformats.org/spreadsheetml/2006/main" count="1950" uniqueCount="806">
  <si>
    <t>Gestor Avaliador</t>
  </si>
  <si>
    <t>Gestor Validador</t>
  </si>
  <si>
    <t>ID</t>
  </si>
  <si>
    <t>Matrícula</t>
  </si>
  <si>
    <t>Cargo</t>
  </si>
  <si>
    <t>Unidade</t>
  </si>
  <si>
    <t>Departamento</t>
  </si>
  <si>
    <t>Data de admissão</t>
  </si>
  <si>
    <t>RAPHAEL AZEVEDO</t>
  </si>
  <si>
    <t>2701261</t>
  </si>
  <si>
    <t>PJ</t>
  </si>
  <si>
    <t>FERNANDA DE SOUZA SILVEIRA</t>
  </si>
  <si>
    <t>ASSESSOR REGIONAL</t>
  </si>
  <si>
    <t>TODOS EMPREENDIMENTOS</t>
  </si>
  <si>
    <t>REGIONAL SÃO PAULO - MINAS</t>
  </si>
  <si>
    <t>STAEL MARLEI DE SOUZA E SILVA</t>
  </si>
  <si>
    <t>2642699</t>
  </si>
  <si>
    <t>KASSIA SOUZA DUARTE</t>
  </si>
  <si>
    <t>ASSISTENTE DE PROJETOS</t>
  </si>
  <si>
    <t>TODOS Incorporações</t>
  </si>
  <si>
    <t>25 - INCORPORA - COLABORADOR</t>
  </si>
  <si>
    <t>MARCELA REGGIANI MORAES</t>
  </si>
  <si>
    <t xml:space="preserve">PAULA ROBERTA LISBOA </t>
  </si>
  <si>
    <t>2634375</t>
  </si>
  <si>
    <t>MARIA LUIZA FERREIRA PINTO</t>
  </si>
  <si>
    <t>ANALISTA DE PESSOAS E CULTURA SR</t>
  </si>
  <si>
    <t>25 - P&amp;C - RECRUTAMENTO</t>
  </si>
  <si>
    <t>LUCAS BUETTO DE ANGELIS</t>
  </si>
  <si>
    <t>EDUARDO DE OLIVEIRA VALENTIM</t>
  </si>
  <si>
    <t>2626259</t>
  </si>
  <si>
    <t>NICOLE EMILY FERREIRA DE LIMA</t>
  </si>
  <si>
    <t>DESENVOLVEDOR III</t>
  </si>
  <si>
    <t>25 - TI - CHECKOUT</t>
  </si>
  <si>
    <t>LUIS FERNANDO KALIL ROSENBURG DE CASTRO</t>
  </si>
  <si>
    <t>2626350</t>
  </si>
  <si>
    <t>PJ48</t>
  </si>
  <si>
    <t>VINICIUS MASSULLO SILVA</t>
  </si>
  <si>
    <t>PRODUCT OWNER SR</t>
  </si>
  <si>
    <t>25 - TI - DADOS</t>
  </si>
  <si>
    <t>2600146</t>
  </si>
  <si>
    <t>GABRIELA ARBELLI COLAQUISES ZAGO</t>
  </si>
  <si>
    <t>ANALISTA DE PESSOAS E CULTURA PL</t>
  </si>
  <si>
    <t>VICTOR JOSE ALVES FERNANDES</t>
  </si>
  <si>
    <t>2607115</t>
  </si>
  <si>
    <t>MARIANA RIBEIRO DA SILVA</t>
  </si>
  <si>
    <t>25 - TI - CTN BRASIL</t>
  </si>
  <si>
    <t>RONALDO BRUNO DE SOUZA SANTOS</t>
  </si>
  <si>
    <t>2600113</t>
  </si>
  <si>
    <t>RAFAEL PIRES GALINARI FERREIRA</t>
  </si>
  <si>
    <t>ANALISTA DE SUPORTE JR</t>
  </si>
  <si>
    <t>CARINE REIS DOS SANTOS</t>
  </si>
  <si>
    <t>ALINE GOES</t>
  </si>
  <si>
    <t>2607063</t>
  </si>
  <si>
    <t>PJ47</t>
  </si>
  <si>
    <t>VITOR DE MELO FRANÇA</t>
  </si>
  <si>
    <t>ANALISTA DE PROJETOS PL</t>
  </si>
  <si>
    <t>25 - OPERACOES - PROJETOS</t>
  </si>
  <si>
    <t>2594080</t>
  </si>
  <si>
    <t>LEANDRO CORREA</t>
  </si>
  <si>
    <t>DESENVOLVEDOR UI UX PL</t>
  </si>
  <si>
    <t>ANDRESSA RODRIGUES MORATO MAIA</t>
  </si>
  <si>
    <t>ULISSES LEANDRO CARVALHO FERREIRA</t>
  </si>
  <si>
    <t>2607157</t>
  </si>
  <si>
    <t>PJ46</t>
  </si>
  <si>
    <t>LUIZ FERNANDO FRANÇA DOS SANTOS</t>
  </si>
  <si>
    <t>ANALISTA DE CRM SR</t>
  </si>
  <si>
    <t>25 - CRM - CX</t>
  </si>
  <si>
    <t>BRAULIO PIOVEZANA RINCO</t>
  </si>
  <si>
    <t>2585678</t>
  </si>
  <si>
    <t>MUNIQUE LACERDA SOUZA MARTINS</t>
  </si>
  <si>
    <t>ANALISTA DE COMUNICAÇÃO PLENO</t>
  </si>
  <si>
    <t>25 - P&amp;C - COMUNICACAO</t>
  </si>
  <si>
    <t>TIAGO DANIEL DE SOUZA</t>
  </si>
  <si>
    <t>25 - TI - GOVERNANCA</t>
  </si>
  <si>
    <t>AMANDA STEFANI SOUSA DE ALMEIDA SANTOS</t>
  </si>
  <si>
    <t>2577625</t>
  </si>
  <si>
    <t>BIANCA MIRAPALHETA BORGES</t>
  </si>
  <si>
    <t>ASSESSOR DE DIRETOR REGIONAL</t>
  </si>
  <si>
    <t>REGIONAL CENTRO SUL</t>
  </si>
  <si>
    <t>2577724</t>
  </si>
  <si>
    <t>CRISTIAN COSTA FERREIRA CAUS</t>
  </si>
  <si>
    <t>ASSISTENTE DE OUVIDORIA</t>
  </si>
  <si>
    <t>25 - CRM - OUVIDORIA</t>
  </si>
  <si>
    <t>BRUNNA KAROLINE QUEIROZ RODRIGUES</t>
  </si>
  <si>
    <t>LORRAYNE CRISTINE THEZA DO CARMO</t>
  </si>
  <si>
    <t>2577617</t>
  </si>
  <si>
    <t>GUSTAVO ELIAS ALMEIDA SILVA</t>
  </si>
  <si>
    <t>ASSISTENTE FISCAL E TRIBUTÁRIO</t>
  </si>
  <si>
    <t>25 - FINANCAS - CONTABILIDADE</t>
  </si>
  <si>
    <t>2577646</t>
  </si>
  <si>
    <t>LUIZA GOMES FERREIRA</t>
  </si>
  <si>
    <t>WELLYNGTON ALVES BORGES</t>
  </si>
  <si>
    <t>2577727</t>
  </si>
  <si>
    <t>MARIA CLARA SOUSA NEGRÃO</t>
  </si>
  <si>
    <t>DESENVOLVEDOR II</t>
  </si>
  <si>
    <t>25 - TI - CTN GLOBAL</t>
  </si>
  <si>
    <t>RAMON BARCELOS VILAR GUIMARÃES</t>
  </si>
  <si>
    <t>2578876</t>
  </si>
  <si>
    <t>MARIO GABRIEL PEDROSO SILVA</t>
  </si>
  <si>
    <t>REGIONAL COSTA LESTE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</si>
  <si>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</si>
  <si>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</si>
  <si>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</si>
  <si>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</si>
  <si>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</si>
  <si>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</si>
  <si>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CAROLINE PAIXÃO VIEIRA DE SENA</t>
  </si>
  <si>
    <t>2578867</t>
  </si>
  <si>
    <t>VICTORIA CAROLINNE SOLANO NOVAIS</t>
  </si>
  <si>
    <t>ANALISTA FINANCEIRO JR</t>
  </si>
  <si>
    <t>25 - FINANCAS - FINANCEIRO</t>
  </si>
  <si>
    <t>2563298</t>
  </si>
  <si>
    <t>RICARDO FELIPE MENDES FERREIRA</t>
  </si>
  <si>
    <t>DESENVOLVEDOR IV</t>
  </si>
  <si>
    <t>2563064</t>
  </si>
  <si>
    <t>COORDENADOR FINANCEIRO</t>
  </si>
  <si>
    <t>25 - FINANCAS - COORDENACAO G1</t>
  </si>
  <si>
    <t>DENIS GABRIEL ABREU DE MELO</t>
  </si>
  <si>
    <t>2563286</t>
  </si>
  <si>
    <t>CLARISSA CARLA XAVIER DA SILVA ROSA</t>
  </si>
  <si>
    <t>25 - TI - MOTOR RCE</t>
  </si>
  <si>
    <t>2571297</t>
  </si>
  <si>
    <t>GILCILENE LOPES LIMA</t>
  </si>
  <si>
    <t>ANALISTA ADMINISTRATIVO FINANCEIRO JR</t>
  </si>
  <si>
    <t>JEZI FERNANDO OLIVEIRA</t>
  </si>
  <si>
    <t>2571363</t>
  </si>
  <si>
    <t>KETTULY FERNANDA ALVES DE AMORIM SANTIAGO</t>
  </si>
  <si>
    <t>COORDENADOR MELHORIA CONTÍNUA</t>
  </si>
  <si>
    <t>25 - FINANCAS - COORDENACAO G2</t>
  </si>
  <si>
    <t>2563667</t>
  </si>
  <si>
    <t>NADABY HAUANE DOURADO DE OLIVEIRA</t>
  </si>
  <si>
    <t>ANALISTA DE GOVERNANÇA JR</t>
  </si>
  <si>
    <t>2538061</t>
  </si>
  <si>
    <t>RODRIGO FERREIRA DA SILVA</t>
  </si>
  <si>
    <t>ELISANGELA PEDRO RODRIGUES OLIVEIRA</t>
  </si>
  <si>
    <t>MAIARA SCHWENGBER CORREA</t>
  </si>
  <si>
    <t>2538088</t>
  </si>
  <si>
    <t>STHEFANIE KEROLYN TOMAZ DE ALMEIDA</t>
  </si>
  <si>
    <t>25 - P&amp;C - DESENHO ORG</t>
  </si>
  <si>
    <t>ANEDINA IZABEL DUARTE SOUZA</t>
  </si>
  <si>
    <t>2523143</t>
  </si>
  <si>
    <t>ALEX SILVA ESTEBANEZ</t>
  </si>
  <si>
    <t>ASSISTENTE ADMINISTRATIVA FINANCEIRA (M.I)</t>
  </si>
  <si>
    <t>MARA INVESTIMENTOS</t>
  </si>
  <si>
    <t>25 - MARA - COLABORADORES</t>
  </si>
  <si>
    <t>CATERINE NUNES BARBOSA</t>
  </si>
  <si>
    <t>2541887</t>
  </si>
  <si>
    <t>PJ43</t>
  </si>
  <si>
    <t>MATHEUS PLAVIAK</t>
  </si>
  <si>
    <t>ANALISTA DE DADOS PLENO</t>
  </si>
  <si>
    <t>25 - OPERACOES - INTELIGENCIA</t>
  </si>
  <si>
    <t>2522175</t>
  </si>
  <si>
    <t>PJ45</t>
  </si>
  <si>
    <t>VINICIUS MIGUEL PEREIRA CUNHA</t>
  </si>
  <si>
    <t>LÍDER 1</t>
  </si>
  <si>
    <t>25 - TI - PO G1</t>
  </si>
  <si>
    <t>CAMILA DA SILVA ANDRADE</t>
  </si>
  <si>
    <t>2523337</t>
  </si>
  <si>
    <t>WYNDERSON FERREIRA DIAS</t>
  </si>
  <si>
    <t>ASSISTENTE DE PESSOAS E CULTURA</t>
  </si>
  <si>
    <t>25 - P&amp;C - DHO</t>
  </si>
  <si>
    <t>FLAVIO HENRIQUE ALMEIDA FERREIRA DE MELO</t>
  </si>
  <si>
    <t>2495114</t>
  </si>
  <si>
    <t>ADALBERTO MARTINS DE ARQUISA</t>
  </si>
  <si>
    <t>REGIONAIS</t>
  </si>
  <si>
    <t>REGIONAL EQUATORIAL</t>
  </si>
  <si>
    <t>MATHEUS ARTHUR FACHIN</t>
  </si>
  <si>
    <t>2497680</t>
  </si>
  <si>
    <t>FELIPE SILVA SANTANA DOS SANTOS</t>
  </si>
  <si>
    <t>ESPECIALISTA I</t>
  </si>
  <si>
    <t>PAULA ROBERTA GOMES LISBOA</t>
  </si>
  <si>
    <t>2498051</t>
  </si>
  <si>
    <t>LUIZ GUSTAVO GOMES CLEMENTE</t>
  </si>
  <si>
    <t>ANALISTA DE PESSOAS E CULTURA JR</t>
  </si>
  <si>
    <t>25 - P&amp;C - CULTURA</t>
  </si>
  <si>
    <t>2506232</t>
  </si>
  <si>
    <t>PAOLA JULIE DOS SANTOS DA SILVA</t>
  </si>
  <si>
    <t>DESENVOLVEDOR I</t>
  </si>
  <si>
    <t>2497675</t>
  </si>
  <si>
    <t>STEPHANY MAGALHAES DIAS</t>
  </si>
  <si>
    <t>ASSISTENTE FINANCEIRO</t>
  </si>
  <si>
    <t>GIOVANNA DE ARAUJO GIACON</t>
  </si>
  <si>
    <t>2497705</t>
  </si>
  <si>
    <t>VITOR ZARETZKI DE SOUZA</t>
  </si>
  <si>
    <t>25 - TI - APP VENDEDOR 1</t>
  </si>
  <si>
    <t>RODRIGO ASSUMPÇÃO</t>
  </si>
  <si>
    <t>2483486</t>
  </si>
  <si>
    <t>EMERSON OLIVEIRA SILVA</t>
  </si>
  <si>
    <t>REGIONAL INTERIOR</t>
  </si>
  <si>
    <t>RODNEY DUARTE DOS SANTOS</t>
  </si>
  <si>
    <t>VANUZA DOS SANTOS PRESTES</t>
  </si>
  <si>
    <t>2483637</t>
  </si>
  <si>
    <t>JOÃO MARIO DE OLIVEIRA FREITAS</t>
  </si>
  <si>
    <t>25 - TI - SEGURANCA</t>
  </si>
  <si>
    <t>ALEX ALVARES PIMENTEL MACIEL</t>
  </si>
  <si>
    <t>2461251</t>
  </si>
  <si>
    <t>CARLOS ANDRE SANTOS SILVA</t>
  </si>
  <si>
    <t>RENNAN LUCIO DE MOURA</t>
  </si>
  <si>
    <t>2461025</t>
  </si>
  <si>
    <t>DAMARIS MARTINHO SOARES SOUZA</t>
  </si>
  <si>
    <t>ASSISTENTE DE SUPORTE</t>
  </si>
  <si>
    <t>25 - OPERACOES - SUPORTE</t>
  </si>
  <si>
    <t>ELISON GLAUBER DE CASTRO</t>
  </si>
  <si>
    <t>2461031</t>
  </si>
  <si>
    <t>LIVIA CRISTINE DE OLIVEIRA</t>
  </si>
  <si>
    <t>ANALISTA DE CRM JR</t>
  </si>
  <si>
    <t>25 - CRM - DEV</t>
  </si>
  <si>
    <t>AMANDA MIRANDA DE CARVALHO</t>
  </si>
  <si>
    <t>2505951</t>
  </si>
  <si>
    <t>PJ42</t>
  </si>
  <si>
    <t>YURI LOPES CORDEIRO</t>
  </si>
  <si>
    <t>ANALISTA DE CRM PL</t>
  </si>
  <si>
    <t>25 - CRM - PROJETOS</t>
  </si>
  <si>
    <t>2440564</t>
  </si>
  <si>
    <t>BÁRBARA CLEMENTE SANTOS FONSECA</t>
  </si>
  <si>
    <t>2440570</t>
  </si>
  <si>
    <t>BRUNIELE DE JUNIO</t>
  </si>
  <si>
    <t>ANALISTA DE SEGURANÇA DA INFORMACAO SENI</t>
  </si>
  <si>
    <t>2440554</t>
  </si>
  <si>
    <t>CHRISTIAN NEVES TORRES</t>
  </si>
  <si>
    <t>2663191</t>
  </si>
  <si>
    <t>GABRIEL FELIPE KRABBE</t>
  </si>
  <si>
    <t>2440567</t>
  </si>
  <si>
    <t>GLALBER EDUARDO MIRANDA</t>
  </si>
  <si>
    <t>2663187</t>
  </si>
  <si>
    <t>JULIANO ANDRÉ PIEROBOM DE AVILA</t>
  </si>
  <si>
    <t>ESPECIALISTA II</t>
  </si>
  <si>
    <t>2440558</t>
  </si>
  <si>
    <t>RICARDO VITAL MARTINS TORRES</t>
  </si>
  <si>
    <t>2457586</t>
  </si>
  <si>
    <t>TAILY PEREIRA DE CARVALHO</t>
  </si>
  <si>
    <t>ANALISTA DE GOVERNANCA EM TI SENIOR</t>
  </si>
  <si>
    <t>2440552</t>
  </si>
  <si>
    <t>YASMIN FAVARO ROCHA</t>
  </si>
  <si>
    <t>ASSISTENTE CONTABIL</t>
  </si>
  <si>
    <t>25 - FINANCAS - MELHORIA CONTINUA</t>
  </si>
  <si>
    <t>2404242</t>
  </si>
  <si>
    <t>JORGE ALBERTO NEVES GALVAO</t>
  </si>
  <si>
    <t>2418298</t>
  </si>
  <si>
    <t>PJ41</t>
  </si>
  <si>
    <t>COORDENADOR DE CRM</t>
  </si>
  <si>
    <t>25 - CRM - COORDENACAO</t>
  </si>
  <si>
    <t>ALINE DE GOES CAMARGO</t>
  </si>
  <si>
    <t>2397323</t>
  </si>
  <si>
    <t>PJ40</t>
  </si>
  <si>
    <t>ELIANE PEREIRA DA SILVA HIDALGO</t>
  </si>
  <si>
    <t>COORDENADOR DE OPERAÇÕES</t>
  </si>
  <si>
    <t>25 - OPERACOES - COORDENACAO G2</t>
  </si>
  <si>
    <t>2419037</t>
  </si>
  <si>
    <t>ANA LAURA DE ALBUQUERQUE LOPES</t>
  </si>
  <si>
    <t>2362487</t>
  </si>
  <si>
    <t>CHRISTIAM ROBERT PIRES PEREIRA</t>
  </si>
  <si>
    <t>VENDEDOR INTERNO</t>
  </si>
  <si>
    <t>233730</t>
  </si>
  <si>
    <t>2362473</t>
  </si>
  <si>
    <t>PJ39</t>
  </si>
  <si>
    <t>PEDRO AUGUSTO LEAO LIMA</t>
  </si>
  <si>
    <t>SLAYNE FERNANDA NERES GOMES BRUM ARAUJO</t>
  </si>
  <si>
    <t>25 - OPERACOES - QUALIDADE</t>
  </si>
  <si>
    <t>LUCAS BICALHO DE FREITAS</t>
  </si>
  <si>
    <t>2368988</t>
  </si>
  <si>
    <t>PJ35</t>
  </si>
  <si>
    <t>COORDENADOR/A DE DADOS</t>
  </si>
  <si>
    <t>25 - OPERACOES - COORDENACAO G1</t>
  </si>
  <si>
    <t>2368960</t>
  </si>
  <si>
    <t>PJ37</t>
  </si>
  <si>
    <t>HENRIQUE WOLLMER</t>
  </si>
  <si>
    <t>ANALISTA DE PROJETOS SR</t>
  </si>
  <si>
    <t>2396401</t>
  </si>
  <si>
    <t>KATHARYNE CRISTINA LOPES DA SILVA</t>
  </si>
  <si>
    <t>2396448</t>
  </si>
  <si>
    <t>PEDRO AUGUSTO SANTANA SILVA</t>
  </si>
  <si>
    <t>AUXILIAR DE QUALIDADE</t>
  </si>
  <si>
    <t>2369007</t>
  </si>
  <si>
    <t>PJ38</t>
  </si>
  <si>
    <t>RAFAEL MACHADO GOMES DE BARROS</t>
  </si>
  <si>
    <t>2335242</t>
  </si>
  <si>
    <t>PJ34</t>
  </si>
  <si>
    <t>BRUNO NUNES DE SOUZA SANTOS</t>
  </si>
  <si>
    <t>2317122</t>
  </si>
  <si>
    <t>CAIO DIAS EVANGELISTA</t>
  </si>
  <si>
    <t>ANALISTA DE DADOS JR</t>
  </si>
  <si>
    <t>THIAGO DA SILVA CHISNANDES</t>
  </si>
  <si>
    <t>2317791</t>
  </si>
  <si>
    <t>ERIK HENRIQUE DIAS FERREIRA</t>
  </si>
  <si>
    <t>ANALISTA DE FP&amp;A PL</t>
  </si>
  <si>
    <t>25 - FINANCAS - FP&amp;A</t>
  </si>
  <si>
    <t>2319673</t>
  </si>
  <si>
    <t>GERALDO GLICERIO DA SILVA JUNIOR</t>
  </si>
  <si>
    <t>ANALISTA DE IMPLANTAÇÃO ERP PLENO</t>
  </si>
  <si>
    <t>25 - FINANCAS - CSC</t>
  </si>
  <si>
    <t>2317120</t>
  </si>
  <si>
    <t>KARINE CRISTINE OLIVEIRA</t>
  </si>
  <si>
    <t>25 - OPERACOES - DADOS</t>
  </si>
  <si>
    <t>2315668</t>
  </si>
  <si>
    <t>ARIEL CRIVELLARO MARTINS</t>
  </si>
  <si>
    <t>2315895</t>
  </si>
  <si>
    <t>ARTHUR FREITAS CESARINO DOS SANTOS</t>
  </si>
  <si>
    <t>2315650</t>
  </si>
  <si>
    <t>DENIS SIQUEIRA MOURA</t>
  </si>
  <si>
    <t>2315901</t>
  </si>
  <si>
    <t>PEDRO HENRIQUE ALVES LUZ</t>
  </si>
  <si>
    <t>2314761</t>
  </si>
  <si>
    <t>THAYS CHRISTINE DOS SANTOS ASSIS MOTA</t>
  </si>
  <si>
    <t>ANALISTA CONTÁBIL JR</t>
  </si>
  <si>
    <t>LEON DOS REIS CALIXTO</t>
  </si>
  <si>
    <t>AQUILES VILAR MOTA GUIMARÃES</t>
  </si>
  <si>
    <t>2274322</t>
  </si>
  <si>
    <t>ALINE COUTINHO DORN</t>
  </si>
  <si>
    <t>CONSULTOR DE OPERAÇÕES TRAINEE INTERNACIONAL</t>
  </si>
  <si>
    <t>25 - OPERACOES - JOVENS PROFISSIONAIS</t>
  </si>
  <si>
    <t>2274213</t>
  </si>
  <si>
    <t>BRENDA ALINE PROCOPIO SILVA</t>
  </si>
  <si>
    <t>2274157</t>
  </si>
  <si>
    <t>FABIO FERREIRA SANTOS</t>
  </si>
  <si>
    <t>2274281</t>
  </si>
  <si>
    <t>GABRIEL ARAUJO FREITAS</t>
  </si>
  <si>
    <t>2274297</t>
  </si>
  <si>
    <t>JESSICA ARAUJO BISPO</t>
  </si>
  <si>
    <t>RENNAN VILAR GUIMARAES CASTRO ANTUNES</t>
  </si>
  <si>
    <t>NÃO ATRIBUIDO</t>
  </si>
  <si>
    <t>25 - P&amp;C - GERENCIA 1</t>
  </si>
  <si>
    <t>2274225</t>
  </si>
  <si>
    <t>LENNON CRISTIANO SOSSMEIER DA SILVA</t>
  </si>
  <si>
    <t>2274314</t>
  </si>
  <si>
    <t>LEONARDO DA COSTA E SILVA</t>
  </si>
  <si>
    <t>2274320</t>
  </si>
  <si>
    <t>LETICIA MENEZES DE MORAIS</t>
  </si>
  <si>
    <t>2274237</t>
  </si>
  <si>
    <t>LUCILENE BARBARA BONIFACIO</t>
  </si>
  <si>
    <t>2274206</t>
  </si>
  <si>
    <t>WILLIAN SABINO DE SOUZA</t>
  </si>
  <si>
    <t>WANDERSON LAGE</t>
  </si>
  <si>
    <t>2387144</t>
  </si>
  <si>
    <t>IC04</t>
  </si>
  <si>
    <t>EDGAR DE OLIVEIRA</t>
  </si>
  <si>
    <t>GERENTE DE ACELERAÇÃO</t>
  </si>
  <si>
    <t>Incubadora de Franquias</t>
  </si>
  <si>
    <t>25 - INCUBADORA - GERENCIA</t>
  </si>
  <si>
    <t>2264557</t>
  </si>
  <si>
    <t>IRIANE JOYCE ALVES INACIO DE MATOS</t>
  </si>
  <si>
    <t>2271497</t>
  </si>
  <si>
    <t>IVAN WALLACE DA CUNHA CASTANHEIRA</t>
  </si>
  <si>
    <t>ANALISTA DE GOVERNANCA EM TI</t>
  </si>
  <si>
    <t>2210545</t>
  </si>
  <si>
    <t>LIDER 1</t>
  </si>
  <si>
    <t>25 - TI - COORDENACAO G2</t>
  </si>
  <si>
    <t>2190505</t>
  </si>
  <si>
    <t>EMERSON DANTAS PEREIRA</t>
  </si>
  <si>
    <t>2190513</t>
  </si>
  <si>
    <t>MICHELE CRISTINA DE SOUZA OLIVEIRA</t>
  </si>
  <si>
    <t>2190497</t>
  </si>
  <si>
    <t>MOACIR BIELESKI JUNIOR</t>
  </si>
  <si>
    <t>2190501</t>
  </si>
  <si>
    <t>MURILO CAMPOS MARTINS</t>
  </si>
  <si>
    <t>2190498</t>
  </si>
  <si>
    <t>PAMMY ANGEL MARTINS SANTANA SIMAS</t>
  </si>
  <si>
    <t>LUÍS HENRIQUE SOARES DUTRA DE ANDRADE</t>
  </si>
  <si>
    <t>2190506</t>
  </si>
  <si>
    <t>THIAGO BATISTA ROSELLI</t>
  </si>
  <si>
    <t>2190504</t>
  </si>
  <si>
    <t>THIAGO DA PAZ SANTOS JUNIOR</t>
  </si>
  <si>
    <t>2190446</t>
  </si>
  <si>
    <t>WALLACE RODRIGUES MEDEIROS</t>
  </si>
  <si>
    <t>2211026</t>
  </si>
  <si>
    <t>LILIANE NIZER PIETRASZKI</t>
  </si>
  <si>
    <t>2173888</t>
  </si>
  <si>
    <t>EVANDRO CARLOS GONCALVES</t>
  </si>
  <si>
    <t>2180335</t>
  </si>
  <si>
    <t>IGOR PAULINELLI NOVAIS</t>
  </si>
  <si>
    <t>ANALISTA DE SEGURANÇA DA INFORMAÇÃO PL</t>
  </si>
  <si>
    <t>2174238</t>
  </si>
  <si>
    <t>JÚLIO CESAR RAMOS JUNIOR</t>
  </si>
  <si>
    <t>2174248</t>
  </si>
  <si>
    <t>LUCAS HENRIQUE BENTO BARRETO</t>
  </si>
  <si>
    <t>2173951</t>
  </si>
  <si>
    <t>RAFAELA FRANCO FERREIRA</t>
  </si>
  <si>
    <t>2174002</t>
  </si>
  <si>
    <t>RONNIE DE ASSIS OLIVEIRA</t>
  </si>
  <si>
    <t>2173953</t>
  </si>
  <si>
    <t>THAIS LUANA BARBOSA DA SILVA</t>
  </si>
  <si>
    <t>2173869</t>
  </si>
  <si>
    <t>VITORIA BARBOSA SENRA</t>
  </si>
  <si>
    <t>2151327</t>
  </si>
  <si>
    <t>ALISSON ARAÚJO CAVALCANTE</t>
  </si>
  <si>
    <t>DIEGO PIRES</t>
  </si>
  <si>
    <t>2196406</t>
  </si>
  <si>
    <t>SUPERINTENDENTE REGIONAL</t>
  </si>
  <si>
    <t>2151307</t>
  </si>
  <si>
    <t>JAIRA LEANDRO DE PAULA BACELAR</t>
  </si>
  <si>
    <t>2151340</t>
  </si>
  <si>
    <t>JEFFERSON REBOUCAS RODRIGUES</t>
  </si>
  <si>
    <t>2151328</t>
  </si>
  <si>
    <t>KAMILA PEREIRA SANTOS</t>
  </si>
  <si>
    <t>2151303</t>
  </si>
  <si>
    <t>RAYANNE ANDRESSA TEIXEIRA MORAIS</t>
  </si>
  <si>
    <t>2187306</t>
  </si>
  <si>
    <t>GILSON JUNIO SILVA</t>
  </si>
  <si>
    <t>2145608</t>
  </si>
  <si>
    <t>RONALDO TRIGO DE OLIVEIRA DA SILVA</t>
  </si>
  <si>
    <t>2145584</t>
  </si>
  <si>
    <t>JESSICA FERNANDA DE MACEDO</t>
  </si>
  <si>
    <t>2134634</t>
  </si>
  <si>
    <t>ARTHUR RODRIGUES MENEZES</t>
  </si>
  <si>
    <t>2130117</t>
  </si>
  <si>
    <t>IN13</t>
  </si>
  <si>
    <t>CRISTIANO ALVES GONDIN</t>
  </si>
  <si>
    <t>ANALISTA DE ENGENHARIA JR</t>
  </si>
  <si>
    <t>2102833</t>
  </si>
  <si>
    <t>THAMIRES DE ARAUJO RODRIGUES</t>
  </si>
  <si>
    <t>1623125</t>
  </si>
  <si>
    <t>GERENTE DE PESSOAS E CULTURA</t>
  </si>
  <si>
    <t>25 - P&amp;C - GERENCIA 2</t>
  </si>
  <si>
    <t>2075471</t>
  </si>
  <si>
    <t>COORDENADOR DE PLANEJAMENTO FINANCEIRO E ORÇAMENTARIO</t>
  </si>
  <si>
    <t>2057370</t>
  </si>
  <si>
    <t>CASSIO LUIZ RODRIGUES DA SILVA</t>
  </si>
  <si>
    <t>ANALISTA DE SUPORTE SR</t>
  </si>
  <si>
    <t>25 - TI - OPS</t>
  </si>
  <si>
    <t>2057308</t>
  </si>
  <si>
    <t>FELIPE PIRES SOARES</t>
  </si>
  <si>
    <t>2057325</t>
  </si>
  <si>
    <t>GIORDANO BRUNO BORGES BRAZ DA SILVA</t>
  </si>
  <si>
    <t>RICARDO ESTEVAO DE ALMEIDA</t>
  </si>
  <si>
    <t>2057363</t>
  </si>
  <si>
    <t>GERENTE DE CSC</t>
  </si>
  <si>
    <t>25 - FINANCAS - GERENCIA 2</t>
  </si>
  <si>
    <t>2041918</t>
  </si>
  <si>
    <t>COORDENADOR DE PESSOAS E CULTURA</t>
  </si>
  <si>
    <t>25 - P&amp;C - COORDENACAO G1</t>
  </si>
  <si>
    <t>2041938</t>
  </si>
  <si>
    <t>NATHANY GONCALVES ALVES</t>
  </si>
  <si>
    <t>2011603</t>
  </si>
  <si>
    <t>DEGEMAR PEREIRA DA SILVA</t>
  </si>
  <si>
    <t>2029544</t>
  </si>
  <si>
    <t>IN11</t>
  </si>
  <si>
    <t>FERNANDO ADRIANO LOURENCO</t>
  </si>
  <si>
    <t>DESENVOLVEDOR JR</t>
  </si>
  <si>
    <t>2011517</t>
  </si>
  <si>
    <t>GABRIEL HENRIQUE GOMES CALAZANS</t>
  </si>
  <si>
    <t>ANALISTA DE PLANEJAMENTO FINANCE ORÇAM JR</t>
  </si>
  <si>
    <t>2011504</t>
  </si>
  <si>
    <t>LAIS GANDRA CARVALHO</t>
  </si>
  <si>
    <t>DANILO ALEXANDRE MONTEIRO DE CASTRO SABBAGH</t>
  </si>
  <si>
    <t>2011562</t>
  </si>
  <si>
    <t>LIDER 3</t>
  </si>
  <si>
    <t>25 - TI - GERENCIA 2</t>
  </si>
  <si>
    <t>1985148</t>
  </si>
  <si>
    <t>ERIC MARTINS DE OLIVEIRA</t>
  </si>
  <si>
    <t>1975872</t>
  </si>
  <si>
    <t>RAISSA MENDES LOPES</t>
  </si>
  <si>
    <t>ASSISTENTE DE VIAGENS E EVENTOS</t>
  </si>
  <si>
    <t>1939691</t>
  </si>
  <si>
    <t>ANA BEATRIZ DA SILVA COSTA</t>
  </si>
  <si>
    <t>1939789</t>
  </si>
  <si>
    <t>CAIO TEIXEIRA DE ARAUJO</t>
  </si>
  <si>
    <t>1939711</t>
  </si>
  <si>
    <t>JOAO VICTOR DE OLIVEIRA</t>
  </si>
  <si>
    <t>ANALISTA DE PROCESSAMENTO DE DADOS JR</t>
  </si>
  <si>
    <t>1939803</t>
  </si>
  <si>
    <t>MATHEUS SANTOS PEREIRA</t>
  </si>
  <si>
    <t>1937833</t>
  </si>
  <si>
    <t>TATIANE CRISTINA DAS MERCES</t>
  </si>
  <si>
    <t>ASSISTENTE DE OPERACOES</t>
  </si>
  <si>
    <t>25 - OPERACOES - CONSULTORIA</t>
  </si>
  <si>
    <t>1866660</t>
  </si>
  <si>
    <t>ALESSANDRA DE AZEVEDO RIBEIRO</t>
  </si>
  <si>
    <t>1866640</t>
  </si>
  <si>
    <t>TAYNARA CANDIDO SATURNO DA SILVA</t>
  </si>
  <si>
    <t>ANALISTA DE QUALIDADE</t>
  </si>
  <si>
    <t>1862972</t>
  </si>
  <si>
    <t>LEONARDO OLIVEIRA SOARES SILVA</t>
  </si>
  <si>
    <t>25 - CRM - ANALITICO</t>
  </si>
  <si>
    <t>1820266</t>
  </si>
  <si>
    <t>KARLA KAROLINY TIAGO DA PAIVA</t>
  </si>
  <si>
    <t>ANALISTA DE OPERACOES PL</t>
  </si>
  <si>
    <t>1782906</t>
  </si>
  <si>
    <t>GUSTAVO ARANDA DAMBROSKI</t>
  </si>
  <si>
    <t>PRODUCT OWNER JR</t>
  </si>
  <si>
    <t>25 - TI - PO COORD G1</t>
  </si>
  <si>
    <t>1782136</t>
  </si>
  <si>
    <t>LUCAS ALVES DUARTE</t>
  </si>
  <si>
    <t>ANALISTA DE QUALIDADE PL</t>
  </si>
  <si>
    <t>1782900</t>
  </si>
  <si>
    <t>VICTOR MAYA NASCIMENTO ALMEIDA</t>
  </si>
  <si>
    <t>1752692</t>
  </si>
  <si>
    <t>CAUA MARQUES GOMES DA SILVA FARIA</t>
  </si>
  <si>
    <t>1752704</t>
  </si>
  <si>
    <t>TAYENE RIBEIRO E SILVA</t>
  </si>
  <si>
    <t>1718015</t>
  </si>
  <si>
    <t>JEOVANA PAULA VIEIRA</t>
  </si>
  <si>
    <t>2387135</t>
  </si>
  <si>
    <t>IC03</t>
  </si>
  <si>
    <t>PRISCILA PEGORARO VILCHES DE AZEVEDO</t>
  </si>
  <si>
    <t>GERENTE DE PROJETOS</t>
  </si>
  <si>
    <t>1683985</t>
  </si>
  <si>
    <t>MARIANA CRISTINA PEREIRA LOPES</t>
  </si>
  <si>
    <t>HAYNA CARDOSO PINTO</t>
  </si>
  <si>
    <t>1684079</t>
  </si>
  <si>
    <t>VINICIUS NASCIMENTO</t>
  </si>
  <si>
    <t>25 - TI - APP VENDEDOR</t>
  </si>
  <si>
    <t>1671883</t>
  </si>
  <si>
    <t>JULIANA MARIA DE SOUZA MESQUITA</t>
  </si>
  <si>
    <t>1673113</t>
  </si>
  <si>
    <t>SUPERVISOR DE QUALIDADE</t>
  </si>
  <si>
    <t>1673103</t>
  </si>
  <si>
    <t>VITOR RAFAEL SOARES CORREIA</t>
  </si>
  <si>
    <t>1645161</t>
  </si>
  <si>
    <t>PEDRO PABLO BRAGA GARCIA</t>
  </si>
  <si>
    <t>1636303</t>
  </si>
  <si>
    <t>ALISSON LUAN DA SILVA</t>
  </si>
  <si>
    <t>1626381</t>
  </si>
  <si>
    <t>DENIS JANES MARTUSCELLI</t>
  </si>
  <si>
    <t>DESIGNER GRAFICO</t>
  </si>
  <si>
    <t>1635811</t>
  </si>
  <si>
    <t>ERICK GONCALVES OLIVEIRA</t>
  </si>
  <si>
    <t>1636271</t>
  </si>
  <si>
    <t>TAMARA FERNANDA DE AZEVEDO BARBOSA</t>
  </si>
  <si>
    <t>ANALISTA DE GOVERNANÇA PLENO</t>
  </si>
  <si>
    <t>1626373</t>
  </si>
  <si>
    <t>PEDRO HENRIQUE TERRA VIEIRA</t>
  </si>
  <si>
    <t>1484295</t>
  </si>
  <si>
    <t>SARAH NASCIMENTO BICALHO</t>
  </si>
  <si>
    <t>1621829</t>
  </si>
  <si>
    <t>M02</t>
  </si>
  <si>
    <t>HENRIQUE VENANCIO DE SOUZA</t>
  </si>
  <si>
    <t>ANALISTA CONTÁBIL FINANCEIRO (M.I)</t>
  </si>
  <si>
    <t>1589092</t>
  </si>
  <si>
    <t>PJ25</t>
  </si>
  <si>
    <t>RICARDO AKIO JURACH FUKUI</t>
  </si>
  <si>
    <t>1525947</t>
  </si>
  <si>
    <t>IN9</t>
  </si>
  <si>
    <t>THIAGO HENRIQUE DOS SANTOS</t>
  </si>
  <si>
    <t>1505537</t>
  </si>
  <si>
    <t>LARISSA SANTOS LIMA</t>
  </si>
  <si>
    <t>1490559</t>
  </si>
  <si>
    <t>BARBARA CARDOSO DULTRA</t>
  </si>
  <si>
    <t>1490555</t>
  </si>
  <si>
    <t>25 - P&amp;C - COORDENACAO G2</t>
  </si>
  <si>
    <t>1485223</t>
  </si>
  <si>
    <t>1455741</t>
  </si>
  <si>
    <t>RHAYANDER DANTAS DOS REIS</t>
  </si>
  <si>
    <t>1435263</t>
  </si>
  <si>
    <t>RAFAELA MOTA MEIRELES DO NASCIMENTO</t>
  </si>
  <si>
    <t>1434893</t>
  </si>
  <si>
    <t>SAMUEL NUNES RIOS SILVA</t>
  </si>
  <si>
    <t>PRODUCT OWNER PLENO I</t>
  </si>
  <si>
    <t>1420069</t>
  </si>
  <si>
    <t>EDMILSON LUIZ ALVES JUNIOR</t>
  </si>
  <si>
    <t>1399165</t>
  </si>
  <si>
    <t>GERENTE DE OPERAÇÕES</t>
  </si>
  <si>
    <t>25 - OPERACOES - GERENCIA 2</t>
  </si>
  <si>
    <t>1399159</t>
  </si>
  <si>
    <t>SUELEN CRISTINA GONCALVES</t>
  </si>
  <si>
    <t>1375789</t>
  </si>
  <si>
    <t>LUCAS BORGES DE SOUZA</t>
  </si>
  <si>
    <t>1375787</t>
  </si>
  <si>
    <t>MARCELA ALVES SILVA NEPOMUCENO</t>
  </si>
  <si>
    <t>1375813</t>
  </si>
  <si>
    <t>THIAGO FARIAS DUTRA</t>
  </si>
  <si>
    <t>1375807</t>
  </si>
  <si>
    <t>TIAGO PEREIRA DO NASCIMENTO</t>
  </si>
  <si>
    <t>1328501</t>
  </si>
  <si>
    <t>IN5</t>
  </si>
  <si>
    <t>MARIANA ALEXANDRINA MACHADO CESARIO</t>
  </si>
  <si>
    <t>1314501</t>
  </si>
  <si>
    <t>THIAGO YUDI NISHIMOTO</t>
  </si>
  <si>
    <t>ANDRE NADDEO</t>
  </si>
  <si>
    <t>PLANETA DE TODOS</t>
  </si>
  <si>
    <t>1292999</t>
  </si>
  <si>
    <t>EDUARDA TERRA DO ESPÍRITO SANTO</t>
  </si>
  <si>
    <t>NUBIA AQUINO DA SILVA</t>
  </si>
  <si>
    <t>1273795</t>
  </si>
  <si>
    <t>REBECCA LOHAYNE BARROS VIEIRA ROCHA</t>
  </si>
  <si>
    <t>25 - P&amp;C - ADM PESSOAL</t>
  </si>
  <si>
    <t>860320</t>
  </si>
  <si>
    <t>ANA CAROLINA DE ALMEIDA CAMPOS NAKABA</t>
  </si>
  <si>
    <t>1240405</t>
  </si>
  <si>
    <t>PJ06</t>
  </si>
  <si>
    <t>MATEUS HENRIQUE CAVALCANTE</t>
  </si>
  <si>
    <t>867067</t>
  </si>
  <si>
    <t>MATHEUS FERNANDO OLIVEIRA ROCHA</t>
  </si>
  <si>
    <t>1236481</t>
  </si>
  <si>
    <t>SERGIO TEIXEIRA DA COSTA FILHO</t>
  </si>
  <si>
    <t>1194706</t>
  </si>
  <si>
    <t>FELIPE VILELLA DE OLIVEIRA ALVES</t>
  </si>
  <si>
    <t>1194696</t>
  </si>
  <si>
    <t>RENATA MITSUE KARATO</t>
  </si>
  <si>
    <t>1192158</t>
  </si>
  <si>
    <t>PJ10</t>
  </si>
  <si>
    <t>WILLIAN MITSUO HISSAMURA ABE</t>
  </si>
  <si>
    <t>1330299</t>
  </si>
  <si>
    <t>BARBARA CRYSTE GRACIANO FONTES</t>
  </si>
  <si>
    <t>1139550</t>
  </si>
  <si>
    <t>1070362</t>
  </si>
  <si>
    <t>PEDRO HENRIQUE COSTA OLIVEIRA</t>
  </si>
  <si>
    <t>PRODUCT OPS JR</t>
  </si>
  <si>
    <t>1055634</t>
  </si>
  <si>
    <t>ESTHER NICOLI RIBEIRO</t>
  </si>
  <si>
    <t>1055618</t>
  </si>
  <si>
    <t>1040104</t>
  </si>
  <si>
    <t>25 - TI - COORDENACAO G3</t>
  </si>
  <si>
    <t>1034622</t>
  </si>
  <si>
    <t>MATEUS VITOR VIEIRA</t>
  </si>
  <si>
    <t>1032170</t>
  </si>
  <si>
    <t>1030104</t>
  </si>
  <si>
    <t>PJ01</t>
  </si>
  <si>
    <t>EDUARDO KRAMER LAGUNA</t>
  </si>
  <si>
    <t>DESENVOLVEDOR</t>
  </si>
  <si>
    <t>1013132</t>
  </si>
  <si>
    <t>LARISSA MARQUES ANASTACIO</t>
  </si>
  <si>
    <t>ANALISTA DE PROCESSOS JR</t>
  </si>
  <si>
    <t>985260</t>
  </si>
  <si>
    <t>898826</t>
  </si>
  <si>
    <t>SABRINE ALVES DA CUNHA</t>
  </si>
  <si>
    <t>866317</t>
  </si>
  <si>
    <t>GABRIEL SOUZA ALVES</t>
  </si>
  <si>
    <t>ANALISTA DE PROCESSAMENTO DE DADOS PL</t>
  </si>
  <si>
    <t>866344</t>
  </si>
  <si>
    <t>HUGO DE MELO CARVALHO</t>
  </si>
  <si>
    <t>866335</t>
  </si>
  <si>
    <t>THIAGO RODRIGUES INÁCIO</t>
  </si>
  <si>
    <t>860317</t>
  </si>
  <si>
    <t>25 - TI - COORDENACAO G1</t>
  </si>
  <si>
    <t>854206</t>
  </si>
  <si>
    <t>MARIA LUIZA SOUZA FILGUEIRAS</t>
  </si>
  <si>
    <t>VIDEOMAKER</t>
  </si>
  <si>
    <t>809712</t>
  </si>
  <si>
    <t>ANDRE LUIZ SILVA DE PAULA</t>
  </si>
  <si>
    <t>809709</t>
  </si>
  <si>
    <t>HEIDI HELEN SEARA DE OLIVEIRA</t>
  </si>
  <si>
    <t>802145</t>
  </si>
  <si>
    <t>DESENVOLVEDOR UI UX SR</t>
  </si>
  <si>
    <t>802151</t>
  </si>
  <si>
    <t>NATHALIA LAISSA LACERDA LOURDES</t>
  </si>
  <si>
    <t>1030108</t>
  </si>
  <si>
    <t>PJ02</t>
  </si>
  <si>
    <t>GIOVANE AIRTON TIMM</t>
  </si>
  <si>
    <t>1030116</t>
  </si>
  <si>
    <t>PJ07</t>
  </si>
  <si>
    <t>782563</t>
  </si>
  <si>
    <t>NELSON MANOEL DE NASCIMENTO JUNIOR</t>
  </si>
  <si>
    <t>1030122</t>
  </si>
  <si>
    <t>PJ09</t>
  </si>
  <si>
    <t>1030114</t>
  </si>
  <si>
    <t>PJ05</t>
  </si>
  <si>
    <t>LUCAS EDUARDO MOCELIN</t>
  </si>
  <si>
    <t>734857</t>
  </si>
  <si>
    <t>MARIANA DE ALBUQUERQUE LOPES</t>
  </si>
  <si>
    <t>COORDENADOR ADMINISTRATIVO</t>
  </si>
  <si>
    <t>734823</t>
  </si>
  <si>
    <t>NATALIA DE ABREU PIRES</t>
  </si>
  <si>
    <t>1030118</t>
  </si>
  <si>
    <t>PJ08</t>
  </si>
  <si>
    <t>LIDER 2</t>
  </si>
  <si>
    <t>25 - TI - GERENCIA 3</t>
  </si>
  <si>
    <t>663958</t>
  </si>
  <si>
    <t>THAIS HERINGER DA SILVA</t>
  </si>
  <si>
    <t>25 - TI - MOTOR RCE PO</t>
  </si>
  <si>
    <t>628495</t>
  </si>
  <si>
    <t>RAFAEL AZEVEDO REIS</t>
  </si>
  <si>
    <t>628459</t>
  </si>
  <si>
    <t>25 - TI - GERENCIA 1</t>
  </si>
  <si>
    <t>683349</t>
  </si>
  <si>
    <t>IC01</t>
  </si>
  <si>
    <t>FERNANDA DIAS CAMPOS</t>
  </si>
  <si>
    <t>ESPECIALISTA EM FINANÇAS</t>
  </si>
  <si>
    <t>2490626</t>
  </si>
  <si>
    <t>KAREN DA SILVA RAMOS FIDELES</t>
  </si>
  <si>
    <t>464074</t>
  </si>
  <si>
    <t>FERNANDA  CRISTINA DE PAULA</t>
  </si>
  <si>
    <t>458230</t>
  </si>
  <si>
    <t>JULIO CESAR BARBOSA BENEDITO DA COSTA</t>
  </si>
  <si>
    <t>ASSISTENTE DE EVENTOS</t>
  </si>
  <si>
    <t>25 - P&amp;C - EVENTOS</t>
  </si>
  <si>
    <t>458104</t>
  </si>
  <si>
    <t>IN2</t>
  </si>
  <si>
    <t>STEPHANY CASSEMIRO RIBEIRO</t>
  </si>
  <si>
    <t>ASSISTENTE DE PROJETOS DE ARQUITETURA</t>
  </si>
  <si>
    <t>453133</t>
  </si>
  <si>
    <t>BIANCA DE MELO CARVALHO</t>
  </si>
  <si>
    <t>ANALISTA FISCAL E TRIBUTÁRIO JR</t>
  </si>
  <si>
    <t>421966</t>
  </si>
  <si>
    <t>JENNIFER CRISTINA FERREIRA DE SOUZA</t>
  </si>
  <si>
    <t>421651</t>
  </si>
  <si>
    <t>390619</t>
  </si>
  <si>
    <t>THAIS POVOA FREITAS COSTA</t>
  </si>
  <si>
    <t>1942821</t>
  </si>
  <si>
    <t>PJ28</t>
  </si>
  <si>
    <t>IGOR ARAUJO</t>
  </si>
  <si>
    <t>CIENTISTA DE DADOS CRM</t>
  </si>
  <si>
    <t>348906</t>
  </si>
  <si>
    <t>HENDRIC CAVALCANTE DE OLIVEIRA ANDRADE</t>
  </si>
  <si>
    <t>331800</t>
  </si>
  <si>
    <t>NATALIA XAVIER REIS</t>
  </si>
  <si>
    <t>250458</t>
  </si>
  <si>
    <t>COORDENADOR CONTÁBIL</t>
  </si>
  <si>
    <t>1030124</t>
  </si>
  <si>
    <t>PJ19</t>
  </si>
  <si>
    <t>230283</t>
  </si>
  <si>
    <t>DANIELA NOBRE MIGUEL</t>
  </si>
  <si>
    <t>ANALISTA CONTÁBIL PL</t>
  </si>
  <si>
    <t>233601</t>
  </si>
  <si>
    <t>LUIZ GUSTAVO FERREIRA DOS REIS</t>
  </si>
  <si>
    <t>ANALISTA DE PROCESSOS PL</t>
  </si>
  <si>
    <t>233652</t>
  </si>
  <si>
    <t>JESSYCA MONIQUE RODRIGUES</t>
  </si>
  <si>
    <t>ANALISTA DE COMPRAS JR</t>
  </si>
  <si>
    <t>236076</t>
  </si>
  <si>
    <t>CAROLINE ANDRADE SANTOS BACELAR</t>
  </si>
  <si>
    <t>ANALISTA DE COMUNICAÇÃO SENIOR</t>
  </si>
  <si>
    <t>236118</t>
  </si>
  <si>
    <t>EMANUELLY ASSUERIA BEZERRA MARTINS</t>
  </si>
  <si>
    <t>25 - TI - CTN GLOBAL PO</t>
  </si>
  <si>
    <t>235707</t>
  </si>
  <si>
    <t>VINICIUS ANDRADE LOPES</t>
  </si>
  <si>
    <t>ENGENHEIRO DE DADOS JUNIOR</t>
  </si>
  <si>
    <t>25 - OPERACOES - ENGENHARIA</t>
  </si>
  <si>
    <t>236613</t>
  </si>
  <si>
    <t>236760</t>
  </si>
  <si>
    <t>IN3</t>
  </si>
  <si>
    <t>LAYZA MARIONE RODRIGUES GOMES</t>
  </si>
  <si>
    <t>164165</t>
  </si>
  <si>
    <t>RAYLAN NUNES BARBOSA</t>
  </si>
  <si>
    <t>140627</t>
  </si>
  <si>
    <t>WANESSA FRANCIELE RODRIGUES</t>
  </si>
  <si>
    <t>121482</t>
  </si>
  <si>
    <t>MATHEUS BICALHO DE FREITAS</t>
  </si>
  <si>
    <t>ENGENHEIRO DE DADOS</t>
  </si>
  <si>
    <t>2180921</t>
  </si>
  <si>
    <t>ANA CAROLINE DE REZENDE ALVES</t>
  </si>
  <si>
    <t>50754</t>
  </si>
  <si>
    <t>JENNEFER HONORIO SOUZA</t>
  </si>
  <si>
    <t>ANALISTA FINANCEIRO SR</t>
  </si>
  <si>
    <t>71067</t>
  </si>
  <si>
    <t>JULIA ALVES PINHEIRO GONCALVES MENEZES</t>
  </si>
  <si>
    <t>ANDRE NADEO</t>
  </si>
  <si>
    <t>67266</t>
  </si>
  <si>
    <t>AMANDA RIBEIRO JARDIM OLIVEIRA DE SOUZA</t>
  </si>
  <si>
    <t>ASSISTENTE ADMINISTRATIVO PLANETA DE TODOS</t>
  </si>
  <si>
    <t>45599</t>
  </si>
  <si>
    <t>GABRIELA ARAUJO DE SOUZA</t>
  </si>
  <si>
    <t>31291</t>
  </si>
  <si>
    <t>RENATA ALVARENGA DA SILVA STOCLER</t>
  </si>
  <si>
    <t>ANALISTA FISCAL E TRIBUTÁRIO SR</t>
  </si>
  <si>
    <t>31191</t>
  </si>
  <si>
    <t>SERGIO LUIZ PACHECO</t>
  </si>
  <si>
    <t>13155</t>
  </si>
  <si>
    <t>COORDENADOR DE PROJETOS</t>
  </si>
  <si>
    <t>13198</t>
  </si>
  <si>
    <t>RENATO TSUYOSHI MIURA MONFORTE</t>
  </si>
  <si>
    <t>ENGENHEIRO ANALÍTICO</t>
  </si>
  <si>
    <t>13194</t>
  </si>
  <si>
    <t>13183</t>
  </si>
  <si>
    <t>GERENTE DE INTELIGÊNCIA DE NEGÓCIOS</t>
  </si>
  <si>
    <t>25 - OPERACOES - GERENCIA 1</t>
  </si>
  <si>
    <t>13218</t>
  </si>
  <si>
    <t>VICTOR ARAUJO PORTO</t>
  </si>
  <si>
    <t>PRODUCT OPS PLENO</t>
  </si>
  <si>
    <t>13168</t>
  </si>
  <si>
    <t>GUILHERME GOMES DA SILVA</t>
  </si>
  <si>
    <t>BRUNO CASTRO METZKER</t>
  </si>
  <si>
    <t>BRUNO METZKER</t>
  </si>
  <si>
    <t>70321</t>
  </si>
  <si>
    <t>13177</t>
  </si>
  <si>
    <t>LARISSA RODRIGUES DIAS</t>
  </si>
  <si>
    <t>PRODUCT OWNER PL</t>
  </si>
  <si>
    <t>25 - OPERACOES - PO</t>
  </si>
  <si>
    <t>13163</t>
  </si>
  <si>
    <t>FREDERICO FERREIRA ARAUJO</t>
  </si>
  <si>
    <t>13199</t>
  </si>
  <si>
    <t>13182</t>
  </si>
  <si>
    <t>GERENTE DE FINANÇAS</t>
  </si>
  <si>
    <t>25 - FINANCAS - GERENCIA 1</t>
  </si>
  <si>
    <t>13151</t>
  </si>
  <si>
    <t>ALINE BASSO DE AZEVEDO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</si>
  <si>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</si>
  <si>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</si>
  <si>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</si>
  <si>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</si>
  <si>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</si>
  <si>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</si>
  <si>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</si>
  <si>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</si>
  <si>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</si>
  <si>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</si>
  <si>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</si>
  <si>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</si>
  <si>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</si>
  <si>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</si>
  <si>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</si>
  <si>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</si>
  <si>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24/03/2026 11:20</t>
  </si>
  <si>
    <t>Sim</t>
  </si>
  <si>
    <t>Não</t>
  </si>
  <si>
    <t>PEPO-202603241120</t>
  </si>
  <si>
    <t>teste1</t>
  </si>
  <si>
    <t xml:space="preserve">Total de Gestores </t>
  </si>
  <si>
    <t>Falta Responder</t>
  </si>
  <si>
    <t>Responderam</t>
  </si>
  <si>
    <t>(vazio)</t>
  </si>
  <si>
    <t>Total Gestores</t>
  </si>
  <si>
    <t>Total Geral</t>
  </si>
  <si>
    <t xml:space="preserve">RESPOSTA PENDENTE: </t>
  </si>
  <si>
    <t>FUNCIONARIO</t>
  </si>
  <si>
    <t>VANUZA DOS SANTOS PRESTES(gestor 1 :1)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</si>
</sst>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</font>
    <font>
      <sz val="11"/>
      <color rgb="FFEF8B02"/>
      <name val="Calibri"/>
    </font>
    <font>
      <sz val="11"/>
      <color theme="0"/>
      <name val="Calibri"/>
    </font>
    <font>
      <sz val="8"/>
      <name val="Calibri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9E8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/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5" fillId="0" borderId="2" xfId="0" applyFont="1" applyBorder="1"/>
    <xf numFmtId="0" fontId="5" fillId="0" borderId="3" xfId="0" applyFont="1" applyBorder="1"/>
    <xf numFmtId="0" fontId="0" fillId="0" borderId="4" xfId="0" applyBorder="1"/>
    <xf numFmtId="0" fontId="0" fillId="0" borderId="0" xfId="0" pivotButton="1"/>
    <xf numFmtId="0" fontId="6" fillId="2" borderId="5" xfId="0" applyFont="1" applyFill="1" applyBorder="1"/>
    <xf numFmtId="0" fontId="4" fillId="0" borderId="0" xfId="0" applyFont="1" applyAlignment="1">
      <alignment horizontal="center" vertical="top"/>
    </xf>
    <xf numFmtId="0" fontId="0" fillId="3" borderId="0" xfId="0" applyFill="1"/>
    <xf numFmtId="14" fontId="0" fillId="3" borderId="0" xfId="0" applyNumberFormat="1" applyFill="1"/>
    <xf numFmtId="0" fontId="8" fillId="3" borderId="0" xfId="0" applyFont="1" applyFill="1"/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0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EF8B02"/>
      <color rgb="FF009E80"/>
      <color rgb="FF009B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Adesão a PEPO 2026</a:t>
            </a:r>
          </a:p>
        </c:rich>
      </c:tx>
      <c:layout>
        <c:manualLayout>
          <c:xMode val="edge"/>
          <c:yMode val="edge"/>
          <c:x val="0.2787072596851824"/>
          <c:y val="3.6451273550320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58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3305175</xdr:colOff>
      <xdr:row>0</xdr:row>
      <xdr:rowOff>0</xdr:rowOff>
    </xdr:from>
    <xdr:to>
      <xdr:col>3</xdr:col>
      <xdr:colOff>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05.306089351849" createdVersion="8" refreshedVersion="8" minRefreshableVersion="3" recordCount="1" xr:uid="{19354E3C-2ADC-4D7D-9C41-36AB88EBB2BC}">
  <cacheSource type="worksheet">
    <worksheetSource name="TabelaRespostas"/>
  </cacheSource>
  <cacheFields count="17">
    <cacheField name="Momento do Envio" numFmtId="0">
      <sharedItems containsNonDate="0" containsString="0" containsBlank="1"/>
    </cacheField>
    <cacheField name="Nome do Gestor" numFmtId="0">
      <sharedItems containsNonDate="0" containsBlank="1" count="10">
        <m/>
        <s v="VANUZA DOS SANTOS PRESTES" u="1"/>
        <s v="THIAGO DA SILVA CHISNANDES" u="1"/>
        <s v="ELISON GLAUBER DE CASTRO" u="1"/>
        <s v="ALINE DE GOES CAMARGO" u="1"/>
        <s v="ANDRE NADDE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 containsNonDate="0" containsString="0" containsBlank="1"/>
    </cacheField>
    <cacheField name="ID" numFmtId="0">
      <sharedItems containsNonDate="0" containsString="0" containsBlank="1"/>
    </cacheField>
    <cacheField name="Gestor Correto?" numFmtId="0">
      <sharedItems containsNonDate="0" containsString="0" containsBlank="1"/>
    </cacheField>
    <cacheField name="Novo Gestor" numFmtId="0">
      <sharedItems containsNonDate="0" containsString="0" containsBlank="1"/>
    </cacheField>
    <cacheField name="Cargo Correto?" numFmtId="0">
      <sharedItems containsNonDate="0" containsString="0" containsBlank="1"/>
    </cacheField>
    <cacheField name="Novo Cargo" numFmtId="0">
      <sharedItems containsNonDate="0" containsString="0" containsBlank="1"/>
    </cacheField>
    <cacheField name="Unidade Correta?" numFmtId="0">
      <sharedItems containsNonDate="0" containsString="0" containsBlank="1"/>
    </cacheField>
    <cacheField name="Nova Unidade" numFmtId="0">
      <sharedItems containsNonDate="0" containsString="0" containsBlank="1"/>
    </cacheField>
    <cacheField name="Departamento Correto?" numFmtId="0">
      <sharedItems containsNonDate="0" containsString="0" containsBlank="1"/>
    </cacheField>
    <cacheField name="Novo Depto" numFmtId="0">
      <sharedItems containsNonDate="0" containsString="0" containsBlank="1"/>
    </cacheField>
    <cacheField name="Par 1" numFmtId="0">
      <sharedItems containsNonDate="0" containsString="0" containsBlank="1"/>
    </cacheField>
    <cacheField name="Par 2" numFmtId="0">
      <sharedItems containsNonDate="0" containsString="0" containsBlank="1"/>
    </cacheField>
    <cacheField name="status_resposta" numFmtId="0">
      <sharedItems containsNonDate="0" containsString="0" containsBlank="1"/>
    </cacheField>
    <cacheField name="Protocolo" numFmtId="0">
      <sharedItems containsNonDate="0" containsString="0" containsBlank="1"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" firstHeaderRow="1" firstDataRow="1" firstDataCol="1"/>
  <pivotFields count="17">
    <pivotField compact="0" outline="0" showAll="0"/>
    <pivotField axis="axisRow" compact="0" outline="0" showAll="0">
      <items count="11">
        <item m="1" x="2"/>
        <item m="1" x="1"/>
        <item m="1" x="3"/>
        <item m="1" x="4"/>
        <item m="1" x="5"/>
        <item m="1" x="6"/>
        <item m="1" x="7"/>
        <item m="1" x="8"/>
        <item m="1" x="9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"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68" totalsRowShown="0" headerRowDxfId="9">
  <autoFilter ref="A1:I268" xr:uid="{00000000-0009-0000-0100-000001000000}"/>
  <sortState xmlns:xlrd2="http://schemas.microsoft.com/office/spreadsheetml/2017/richdata2" ref="A2:I268">
    <sortCondition descending="1" ref="I1:I268"/>
  </sortState>
  <tableColumns count="9">
    <tableColumn id="1" xr3:uid="{00000000-0010-0000-0000-000001000000}" name="Gestor Avaliador"/>
    <tableColumn id="2" xr3:uid="{00000000-0010-0000-0000-000002000000}" name="Gestor Validador"/>
    <tableColumn id="3" xr3:uid="{00000000-0010-0000-0000-000003000000}" name="ID"/>
    <tableColumn id="4" xr3:uid="{00000000-0010-0000-0000-000004000000}" name="Matrícula"/>
    <tableColumn id="5" xr3:uid="{00000000-0010-0000-0000-000005000000}" name="FUNCIONARIO"/>
    <tableColumn id="6" xr3:uid="{00000000-0010-0000-0000-000006000000}" name="Cargo"/>
    <tableColumn id="7" xr3:uid="{00000000-0010-0000-0000-000007000000}" name="Unidade"/>
    <tableColumn id="8" xr3:uid="{00000000-0010-0000-0000-000008000000}" name="Departamento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2" totalsRowShown="0" headerRowDxfId="7" headerRowBorderDxfId="6" tableBorderDxfId="5">
  <autoFilter ref="A1:Q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8"/>
  <sheetViews>
    <sheetView tabSelected="1" zoomScale="90" zoomScaleNormal="90" workbookViewId="0">
      <selection activeCell="B14" sqref="B14"/>
    </sheetView>
  </sheetViews>
  <sheetFormatPr defaultRowHeight="14.4" x14ac:dyDescent="0.3"/>
  <cols>
    <col min="1" max="1" width="49.88671875" bestFit="1" customWidth="1"/>
    <col min="2" max="2" width="43.5546875" customWidth="1"/>
    <col min="3" max="3" width="8.6640625" hidden="1" customWidth="1"/>
    <col min="4" max="4" width="12" style="3" hidden="1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2" bestFit="1" customWidth="1"/>
  </cols>
  <sheetData>
    <row r="1" spans="1:9" x14ac:dyDescent="0.3">
      <c r="A1" s="4" t="s">
        <v>0</v>
      </c>
      <c r="B1" s="4" t="s">
        <v>1</v>
      </c>
      <c r="C1" s="4" t="s">
        <v>2</v>
      </c>
      <c r="D1" s="3" t="s">
        <v>3</v>
      </c>
      <c r="E1" s="4" t="s">
        <v>804</v>
      </c>
      <c r="F1" s="4" t="s">
        <v>4</v>
      </c>
      <c r="G1" s="4" t="s">
        <v>5</v>
      </c>
      <c r="H1" s="4" t="s">
        <v>6</v>
      </c>
      <c r="I1" s="2" t="s">
        <v>7</v>
      </c>
    </row>
    <row r="2" spans="1:9" x14ac:dyDescent="0.3">
      <c r="A2" t="s">
        <v>8</v>
      </c>
      <c r="B2" t="s">
        <v>8</v>
      </c>
      <c r="C2" t="s">
        <v>9</v>
      </c>
      <c r="D2" s="3" t="s">
        <v>10</v>
      </c>
      <c r="E2" t="s">
        <v>11</v>
      </c>
      <c r="F2" t="s">
        <v>12</v>
      </c>
      <c r="G2" t="s">
        <v>13</v>
      </c>
      <c r="H2" t="s">
        <v>14</v>
      </c>
      <c r="I2" s="2">
        <v>46053</v>
      </c>
    </row>
    <row r="3" spans="1:9" x14ac:dyDescent="0.3">
      <c r="A3" t="s">
        <v>15</v>
      </c>
      <c r="B3" t="s">
        <v>15</v>
      </c>
      <c r="C3" t="s">
        <v>16</v>
      </c>
      <c r="D3" s="3">
        <v>0</v>
      </c>
      <c r="E3" t="s">
        <v>17</v>
      </c>
      <c r="F3" t="s">
        <v>18</v>
      </c>
      <c r="G3" t="s">
        <v>19</v>
      </c>
      <c r="H3" t="s">
        <v>20</v>
      </c>
      <c r="I3" s="2">
        <v>46043</v>
      </c>
    </row>
    <row r="4" spans="1:9" x14ac:dyDescent="0.3">
      <c r="A4" t="s">
        <v>21</v>
      </c>
      <c r="B4" t="s">
        <v>22</v>
      </c>
      <c r="C4" t="s">
        <v>23</v>
      </c>
      <c r="D4" s="3">
        <v>0</v>
      </c>
      <c r="E4" t="s">
        <v>24</v>
      </c>
      <c r="F4" t="s">
        <v>25</v>
      </c>
      <c r="G4" t="s">
        <v>13</v>
      </c>
      <c r="H4" t="s">
        <v>26</v>
      </c>
      <c r="I4" s="2">
        <v>46041</v>
      </c>
    </row>
    <row r="5" spans="1:9" x14ac:dyDescent="0.3">
      <c r="A5" t="s">
        <v>27</v>
      </c>
      <c r="B5" t="s">
        <v>28</v>
      </c>
      <c r="C5" t="s">
        <v>29</v>
      </c>
      <c r="D5">
        <v>958</v>
      </c>
      <c r="E5" t="s">
        <v>30</v>
      </c>
      <c r="F5" t="s">
        <v>31</v>
      </c>
      <c r="G5" t="s">
        <v>13</v>
      </c>
      <c r="H5" t="s">
        <v>32</v>
      </c>
      <c r="I5" s="2">
        <v>46027</v>
      </c>
    </row>
    <row r="6" spans="1:9" x14ac:dyDescent="0.3">
      <c r="A6" t="s">
        <v>33</v>
      </c>
      <c r="B6" t="s">
        <v>33</v>
      </c>
      <c r="C6" t="s">
        <v>34</v>
      </c>
      <c r="D6" s="3" t="s">
        <v>35</v>
      </c>
      <c r="E6" t="s">
        <v>36</v>
      </c>
      <c r="F6" t="s">
        <v>37</v>
      </c>
      <c r="G6" t="s">
        <v>13</v>
      </c>
      <c r="H6" t="s">
        <v>38</v>
      </c>
      <c r="I6" s="2">
        <v>46027</v>
      </c>
    </row>
    <row r="7" spans="1:9" x14ac:dyDescent="0.3">
      <c r="A7" t="s">
        <v>21</v>
      </c>
      <c r="B7" t="s">
        <v>22</v>
      </c>
      <c r="C7" t="s">
        <v>39</v>
      </c>
      <c r="D7">
        <v>956</v>
      </c>
      <c r="E7" t="s">
        <v>40</v>
      </c>
      <c r="F7" t="s">
        <v>41</v>
      </c>
      <c r="G7" t="s">
        <v>13</v>
      </c>
      <c r="H7" t="s">
        <v>26</v>
      </c>
      <c r="I7" s="2">
        <v>46006</v>
      </c>
    </row>
    <row r="8" spans="1:9" x14ac:dyDescent="0.3">
      <c r="A8" t="s">
        <v>42</v>
      </c>
      <c r="B8" t="s">
        <v>33</v>
      </c>
      <c r="C8" t="s">
        <v>43</v>
      </c>
      <c r="D8">
        <v>954</v>
      </c>
      <c r="E8" t="s">
        <v>44</v>
      </c>
      <c r="F8" t="s">
        <v>37</v>
      </c>
      <c r="G8" t="s">
        <v>13</v>
      </c>
      <c r="H8" t="s">
        <v>45</v>
      </c>
      <c r="I8" s="2">
        <v>46006</v>
      </c>
    </row>
    <row r="9" spans="1:9" x14ac:dyDescent="0.3">
      <c r="A9" t="s">
        <v>46</v>
      </c>
      <c r="B9" t="s">
        <v>28</v>
      </c>
      <c r="C9" t="s">
        <v>47</v>
      </c>
      <c r="D9">
        <v>957</v>
      </c>
      <c r="E9" t="s">
        <v>48</v>
      </c>
      <c r="F9" t="s">
        <v>49</v>
      </c>
      <c r="G9" t="s">
        <v>13</v>
      </c>
      <c r="H9" t="s">
        <v>45</v>
      </c>
      <c r="I9" s="2">
        <v>46006</v>
      </c>
    </row>
    <row r="10" spans="1:9" x14ac:dyDescent="0.3">
      <c r="A10" t="s">
        <v>50</v>
      </c>
      <c r="B10" t="s">
        <v>51</v>
      </c>
      <c r="C10" t="s">
        <v>52</v>
      </c>
      <c r="D10" s="3" t="s">
        <v>53</v>
      </c>
      <c r="E10" t="s">
        <v>54</v>
      </c>
      <c r="F10" t="s">
        <v>55</v>
      </c>
      <c r="G10" t="s">
        <v>13</v>
      </c>
      <c r="H10" t="s">
        <v>56</v>
      </c>
      <c r="I10" s="2">
        <v>46006</v>
      </c>
    </row>
    <row r="11" spans="1:9" x14ac:dyDescent="0.3">
      <c r="A11" t="s">
        <v>42</v>
      </c>
      <c r="B11" t="s">
        <v>33</v>
      </c>
      <c r="C11" t="s">
        <v>57</v>
      </c>
      <c r="D11">
        <v>950</v>
      </c>
      <c r="E11" t="s">
        <v>58</v>
      </c>
      <c r="F11" t="s">
        <v>59</v>
      </c>
      <c r="G11" t="s">
        <v>13</v>
      </c>
      <c r="H11" t="s">
        <v>45</v>
      </c>
      <c r="I11" s="2">
        <v>45992</v>
      </c>
    </row>
    <row r="12" spans="1:9" x14ac:dyDescent="0.3">
      <c r="A12" t="s">
        <v>60</v>
      </c>
      <c r="B12" t="s">
        <v>61</v>
      </c>
      <c r="C12" t="s">
        <v>62</v>
      </c>
      <c r="D12" s="3" t="s">
        <v>63</v>
      </c>
      <c r="E12" t="s">
        <v>64</v>
      </c>
      <c r="F12" t="s">
        <v>65</v>
      </c>
      <c r="G12" t="s">
        <v>13</v>
      </c>
      <c r="H12" t="s">
        <v>66</v>
      </c>
      <c r="I12" s="2">
        <v>45992</v>
      </c>
    </row>
    <row r="13" spans="1:9" x14ac:dyDescent="0.3">
      <c r="A13" t="s">
        <v>67</v>
      </c>
      <c r="B13" t="s">
        <v>22</v>
      </c>
      <c r="C13" t="s">
        <v>68</v>
      </c>
      <c r="D13">
        <v>951</v>
      </c>
      <c r="E13" t="s">
        <v>69</v>
      </c>
      <c r="F13" t="s">
        <v>70</v>
      </c>
      <c r="G13" t="s">
        <v>13</v>
      </c>
      <c r="H13" t="s">
        <v>71</v>
      </c>
      <c r="I13" s="2">
        <v>45992</v>
      </c>
    </row>
    <row r="14" spans="1:9" x14ac:dyDescent="0.3">
      <c r="A14" t="s">
        <v>74</v>
      </c>
      <c r="B14" t="s">
        <v>74</v>
      </c>
      <c r="C14" t="s">
        <v>75</v>
      </c>
      <c r="D14">
        <v>942</v>
      </c>
      <c r="E14" t="s">
        <v>76</v>
      </c>
      <c r="F14" t="s">
        <v>77</v>
      </c>
      <c r="G14" t="s">
        <v>13</v>
      </c>
      <c r="H14" t="s">
        <v>78</v>
      </c>
      <c r="I14" s="2">
        <v>45978</v>
      </c>
    </row>
    <row r="15" spans="1:9" x14ac:dyDescent="0.3">
      <c r="A15" t="s">
        <v>60</v>
      </c>
      <c r="B15" t="s">
        <v>61</v>
      </c>
      <c r="C15" t="s">
        <v>79</v>
      </c>
      <c r="D15">
        <v>948</v>
      </c>
      <c r="E15" t="s">
        <v>80</v>
      </c>
      <c r="F15" t="s">
        <v>81</v>
      </c>
      <c r="G15" t="s">
        <v>13</v>
      </c>
      <c r="H15" t="s">
        <v>82</v>
      </c>
      <c r="I15" s="2">
        <v>45978</v>
      </c>
    </row>
    <row r="16" spans="1:9" x14ac:dyDescent="0.3">
      <c r="A16" t="s">
        <v>83</v>
      </c>
      <c r="B16" t="s">
        <v>84</v>
      </c>
      <c r="C16" t="s">
        <v>85</v>
      </c>
      <c r="D16">
        <v>944</v>
      </c>
      <c r="E16" t="s">
        <v>86</v>
      </c>
      <c r="F16" t="s">
        <v>87</v>
      </c>
      <c r="G16" t="s">
        <v>13</v>
      </c>
      <c r="H16" t="s">
        <v>88</v>
      </c>
      <c r="I16" s="2">
        <v>45978</v>
      </c>
    </row>
    <row r="17" spans="1:9" x14ac:dyDescent="0.3">
      <c r="A17" t="s">
        <v>60</v>
      </c>
      <c r="B17" t="s">
        <v>61</v>
      </c>
      <c r="C17" t="s">
        <v>89</v>
      </c>
      <c r="D17">
        <v>946</v>
      </c>
      <c r="E17" t="s">
        <v>90</v>
      </c>
      <c r="F17" t="s">
        <v>81</v>
      </c>
      <c r="G17" t="s">
        <v>13</v>
      </c>
      <c r="H17" t="s">
        <v>82</v>
      </c>
      <c r="I17" s="2">
        <v>45978</v>
      </c>
    </row>
    <row r="18" spans="1:9" x14ac:dyDescent="0.3">
      <c r="A18" t="s">
        <v>91</v>
      </c>
      <c r="B18" t="s">
        <v>91</v>
      </c>
      <c r="C18" t="s">
        <v>92</v>
      </c>
      <c r="D18">
        <v>940</v>
      </c>
      <c r="E18" t="s">
        <v>93</v>
      </c>
      <c r="F18" t="s">
        <v>94</v>
      </c>
      <c r="G18" t="s">
        <v>13</v>
      </c>
      <c r="H18" t="s">
        <v>95</v>
      </c>
      <c r="I18" s="2">
        <v>45978</v>
      </c>
    </row>
    <row r="19" spans="1:9" x14ac:dyDescent="0.3">
      <c r="A19" t="s">
        <v>96</v>
      </c>
      <c r="B19" t="s">
        <v>96</v>
      </c>
      <c r="C19" t="s">
        <v>97</v>
      </c>
      <c r="D19">
        <v>943</v>
      </c>
      <c r="E19" t="s">
        <v>98</v>
      </c>
      <c r="F19" t="s">
        <v>77</v>
      </c>
      <c r="G19" t="s">
        <v>13</v>
      </c>
      <c r="H19" t="s">
        <v>99</v>
      </c>
      <c r="I19" s="2">
        <v>45978</v>
      </c>
    </row>
    <row r="20" spans="1:9" x14ac:dyDescent="0.3">
      <c r="A20" t="s">
        <v>60</v>
      </c>
      <c r="B20" t="s">
        <v>61</v>
      </c>
      <c r="C20" t="s">
        <v>100</v>
      </c>
      <c r="D20">
        <v>949</v>
      </c>
      <c r="E20" t="s">
        <v>101</v>
      </c>
      <c r="F20" t="s">
        <v>81</v>
      </c>
      <c r="G20" t="s">
        <v>13</v>
      </c>
      <c r="H20" t="s">
        <v>82</v>
      </c>
      <c r="I20" s="2">
        <v>45978</v>
      </c>
    </row>
    <row r="21" spans="1:9" x14ac:dyDescent="0.3">
      <c r="A21" t="s">
        <v>60</v>
      </c>
      <c r="B21" t="s">
        <v>61</v>
      </c>
      <c r="C21" t="s">
        <v>102</v>
      </c>
      <c r="D21">
        <v>947</v>
      </c>
      <c r="E21" t="s">
        <v>103</v>
      </c>
      <c r="F21" t="s">
        <v>81</v>
      </c>
      <c r="G21" t="s">
        <v>13</v>
      </c>
      <c r="H21" t="s">
        <v>82</v>
      </c>
      <c r="I21" s="2">
        <v>45978</v>
      </c>
    </row>
    <row r="22" spans="1:9" x14ac:dyDescent="0.3">
      <c r="A22" t="s">
        <v>60</v>
      </c>
      <c r="B22" t="s">
        <v>61</v>
      </c>
      <c r="C22" t="s">
        <v>104</v>
      </c>
      <c r="D22">
        <v>945</v>
      </c>
      <c r="E22" t="s">
        <v>105</v>
      </c>
      <c r="F22" t="s">
        <v>81</v>
      </c>
      <c r="G22" t="s">
        <v>13</v>
      </c>
      <c r="H22" t="s">
        <v>82</v>
      </c>
      <c r="I22" s="2">
        <v>45978</v>
      </c>
    </row>
    <row r="23" spans="1:9" x14ac:dyDescent="0.3">
      <c r="A23" t="s">
        <v>106</v>
      </c>
      <c r="B23" t="s">
        <v>106</v>
      </c>
      <c r="C23" t="s">
        <v>107</v>
      </c>
      <c r="D23">
        <v>941</v>
      </c>
      <c r="E23" t="s">
        <v>108</v>
      </c>
      <c r="F23" t="s">
        <v>109</v>
      </c>
      <c r="G23" t="s">
        <v>13</v>
      </c>
      <c r="H23" t="s">
        <v>110</v>
      </c>
      <c r="I23" s="2">
        <v>45978</v>
      </c>
    </row>
    <row r="24" spans="1:9" x14ac:dyDescent="0.3">
      <c r="A24" t="s">
        <v>91</v>
      </c>
      <c r="B24" t="s">
        <v>91</v>
      </c>
      <c r="C24" t="s">
        <v>111</v>
      </c>
      <c r="D24">
        <v>939</v>
      </c>
      <c r="E24" t="s">
        <v>112</v>
      </c>
      <c r="F24" t="s">
        <v>113</v>
      </c>
      <c r="G24" t="s">
        <v>13</v>
      </c>
      <c r="H24" t="s">
        <v>95</v>
      </c>
      <c r="I24" s="2">
        <v>45966</v>
      </c>
    </row>
    <row r="25" spans="1:9" x14ac:dyDescent="0.3">
      <c r="A25" t="s">
        <v>84</v>
      </c>
      <c r="B25" t="s">
        <v>84</v>
      </c>
      <c r="C25" t="s">
        <v>114</v>
      </c>
      <c r="D25">
        <v>933</v>
      </c>
      <c r="E25" t="s">
        <v>106</v>
      </c>
      <c r="F25" t="s">
        <v>115</v>
      </c>
      <c r="G25" t="s">
        <v>13</v>
      </c>
      <c r="H25" t="s">
        <v>116</v>
      </c>
      <c r="I25" s="2">
        <v>45964</v>
      </c>
    </row>
    <row r="26" spans="1:9" x14ac:dyDescent="0.3">
      <c r="A26" t="s">
        <v>117</v>
      </c>
      <c r="B26" t="s">
        <v>28</v>
      </c>
      <c r="C26" t="s">
        <v>118</v>
      </c>
      <c r="D26">
        <v>935</v>
      </c>
      <c r="E26" t="s">
        <v>119</v>
      </c>
      <c r="F26" t="s">
        <v>31</v>
      </c>
      <c r="G26" t="s">
        <v>13</v>
      </c>
      <c r="H26" t="s">
        <v>120</v>
      </c>
      <c r="I26" s="2">
        <v>45964</v>
      </c>
    </row>
    <row r="27" spans="1:9" x14ac:dyDescent="0.3">
      <c r="A27" t="s">
        <v>15</v>
      </c>
      <c r="B27" t="s">
        <v>15</v>
      </c>
      <c r="C27" t="s">
        <v>121</v>
      </c>
      <c r="D27" s="3">
        <v>0</v>
      </c>
      <c r="E27" t="s">
        <v>122</v>
      </c>
      <c r="F27" t="s">
        <v>123</v>
      </c>
      <c r="G27" t="s">
        <v>19</v>
      </c>
      <c r="H27" t="s">
        <v>20</v>
      </c>
      <c r="I27" s="2">
        <v>45964</v>
      </c>
    </row>
    <row r="28" spans="1:9" x14ac:dyDescent="0.3">
      <c r="A28" t="s">
        <v>124</v>
      </c>
      <c r="B28" t="s">
        <v>124</v>
      </c>
      <c r="C28" t="s">
        <v>125</v>
      </c>
      <c r="D28">
        <v>938</v>
      </c>
      <c r="E28" t="s">
        <v>126</v>
      </c>
      <c r="F28" t="s">
        <v>127</v>
      </c>
      <c r="G28" t="s">
        <v>13</v>
      </c>
      <c r="H28" t="s">
        <v>128</v>
      </c>
      <c r="I28" s="2">
        <v>45964</v>
      </c>
    </row>
    <row r="29" spans="1:9" x14ac:dyDescent="0.3">
      <c r="A29" t="s">
        <v>72</v>
      </c>
      <c r="B29" t="s">
        <v>72</v>
      </c>
      <c r="C29" t="s">
        <v>129</v>
      </c>
      <c r="D29">
        <v>936</v>
      </c>
      <c r="E29" t="s">
        <v>130</v>
      </c>
      <c r="F29" t="s">
        <v>131</v>
      </c>
      <c r="G29" t="s">
        <v>13</v>
      </c>
      <c r="H29" t="s">
        <v>73</v>
      </c>
      <c r="I29" s="2">
        <v>45964</v>
      </c>
    </row>
    <row r="30" spans="1:9" x14ac:dyDescent="0.3">
      <c r="A30" t="s">
        <v>106</v>
      </c>
      <c r="B30" t="s">
        <v>106</v>
      </c>
      <c r="C30" t="s">
        <v>132</v>
      </c>
      <c r="D30">
        <v>931</v>
      </c>
      <c r="E30" t="s">
        <v>133</v>
      </c>
      <c r="F30" t="s">
        <v>109</v>
      </c>
      <c r="G30" t="s">
        <v>13</v>
      </c>
      <c r="H30" t="s">
        <v>110</v>
      </c>
      <c r="I30" s="2">
        <v>45950</v>
      </c>
    </row>
    <row r="31" spans="1:9" x14ac:dyDescent="0.3">
      <c r="A31" t="s">
        <v>134</v>
      </c>
      <c r="B31" t="s">
        <v>135</v>
      </c>
      <c r="C31" t="s">
        <v>136</v>
      </c>
      <c r="D31">
        <v>930</v>
      </c>
      <c r="E31" t="s">
        <v>137</v>
      </c>
      <c r="F31" t="s">
        <v>41</v>
      </c>
      <c r="G31" t="s">
        <v>13</v>
      </c>
      <c r="H31" t="s">
        <v>138</v>
      </c>
      <c r="I31" s="2">
        <v>45950</v>
      </c>
    </row>
    <row r="32" spans="1:9" x14ac:dyDescent="0.3">
      <c r="A32" t="s">
        <v>139</v>
      </c>
      <c r="B32" t="s">
        <v>139</v>
      </c>
      <c r="C32" t="s">
        <v>140</v>
      </c>
      <c r="D32" s="3">
        <v>0</v>
      </c>
      <c r="E32" t="s">
        <v>141</v>
      </c>
      <c r="F32" t="s">
        <v>142</v>
      </c>
      <c r="G32" t="s">
        <v>143</v>
      </c>
      <c r="H32" t="s">
        <v>144</v>
      </c>
      <c r="I32" s="2">
        <v>45936</v>
      </c>
    </row>
    <row r="33" spans="1:9" x14ac:dyDescent="0.3">
      <c r="A33" t="s">
        <v>145</v>
      </c>
      <c r="B33" t="s">
        <v>145</v>
      </c>
      <c r="C33" t="s">
        <v>146</v>
      </c>
      <c r="D33" s="3" t="s">
        <v>147</v>
      </c>
      <c r="E33" t="s">
        <v>148</v>
      </c>
      <c r="F33" t="s">
        <v>149</v>
      </c>
      <c r="G33" t="s">
        <v>13</v>
      </c>
      <c r="H33" t="s">
        <v>150</v>
      </c>
      <c r="I33" s="2">
        <v>45936</v>
      </c>
    </row>
    <row r="34" spans="1:9" x14ac:dyDescent="0.3">
      <c r="A34" t="s">
        <v>33</v>
      </c>
      <c r="B34" t="s">
        <v>33</v>
      </c>
      <c r="C34" t="s">
        <v>151</v>
      </c>
      <c r="D34" s="3" t="s">
        <v>152</v>
      </c>
      <c r="E34" t="s">
        <v>153</v>
      </c>
      <c r="F34" t="s">
        <v>154</v>
      </c>
      <c r="G34" t="s">
        <v>13</v>
      </c>
      <c r="H34" t="s">
        <v>155</v>
      </c>
      <c r="I34" s="2">
        <v>45936</v>
      </c>
    </row>
    <row r="35" spans="1:9" x14ac:dyDescent="0.3">
      <c r="A35" t="s">
        <v>156</v>
      </c>
      <c r="B35" t="s">
        <v>156</v>
      </c>
      <c r="C35" t="s">
        <v>157</v>
      </c>
      <c r="D35">
        <v>928</v>
      </c>
      <c r="E35" t="s">
        <v>158</v>
      </c>
      <c r="F35" t="s">
        <v>159</v>
      </c>
      <c r="G35" t="s">
        <v>13</v>
      </c>
      <c r="H35" t="s">
        <v>160</v>
      </c>
      <c r="I35" s="2">
        <v>45936</v>
      </c>
    </row>
    <row r="36" spans="1:9" x14ac:dyDescent="0.3">
      <c r="A36" t="s">
        <v>161</v>
      </c>
      <c r="B36" t="s">
        <v>161</v>
      </c>
      <c r="C36" t="s">
        <v>162</v>
      </c>
      <c r="D36">
        <v>921</v>
      </c>
      <c r="E36" t="s">
        <v>163</v>
      </c>
      <c r="F36" t="s">
        <v>77</v>
      </c>
      <c r="G36" t="s">
        <v>164</v>
      </c>
      <c r="H36" t="s">
        <v>165</v>
      </c>
      <c r="I36" s="2">
        <v>45915</v>
      </c>
    </row>
    <row r="37" spans="1:9" x14ac:dyDescent="0.3">
      <c r="A37" t="s">
        <v>166</v>
      </c>
      <c r="B37" t="s">
        <v>166</v>
      </c>
      <c r="C37" t="s">
        <v>167</v>
      </c>
      <c r="D37">
        <v>922</v>
      </c>
      <c r="E37" t="s">
        <v>168</v>
      </c>
      <c r="F37" t="s">
        <v>169</v>
      </c>
      <c r="G37" t="s">
        <v>13</v>
      </c>
      <c r="H37" t="s">
        <v>45</v>
      </c>
      <c r="I37" s="2">
        <v>45915</v>
      </c>
    </row>
    <row r="38" spans="1:9" x14ac:dyDescent="0.3">
      <c r="A38" t="s">
        <v>170</v>
      </c>
      <c r="B38" t="s">
        <v>22</v>
      </c>
      <c r="C38" t="s">
        <v>171</v>
      </c>
      <c r="D38">
        <v>927</v>
      </c>
      <c r="E38" t="s">
        <v>172</v>
      </c>
      <c r="F38" t="s">
        <v>173</v>
      </c>
      <c r="G38" t="s">
        <v>13</v>
      </c>
      <c r="H38" t="s">
        <v>174</v>
      </c>
      <c r="I38" s="2">
        <v>45915</v>
      </c>
    </row>
    <row r="39" spans="1:9" x14ac:dyDescent="0.3">
      <c r="A39" t="s">
        <v>166</v>
      </c>
      <c r="B39" t="s">
        <v>166</v>
      </c>
      <c r="C39" t="s">
        <v>175</v>
      </c>
      <c r="D39">
        <v>924</v>
      </c>
      <c r="E39" t="s">
        <v>176</v>
      </c>
      <c r="F39" t="s">
        <v>177</v>
      </c>
      <c r="G39" t="s">
        <v>13</v>
      </c>
      <c r="H39" t="s">
        <v>45</v>
      </c>
      <c r="I39" s="2">
        <v>45915</v>
      </c>
    </row>
    <row r="40" spans="1:9" x14ac:dyDescent="0.3">
      <c r="A40" t="s">
        <v>106</v>
      </c>
      <c r="B40" t="s">
        <v>106</v>
      </c>
      <c r="C40" t="s">
        <v>178</v>
      </c>
      <c r="D40">
        <v>923</v>
      </c>
      <c r="E40" t="s">
        <v>179</v>
      </c>
      <c r="F40" t="s">
        <v>180</v>
      </c>
      <c r="G40" t="s">
        <v>13</v>
      </c>
      <c r="H40" t="s">
        <v>110</v>
      </c>
      <c r="I40" s="2">
        <v>45915</v>
      </c>
    </row>
    <row r="41" spans="1:9" x14ac:dyDescent="0.3">
      <c r="A41" t="s">
        <v>181</v>
      </c>
      <c r="B41" t="s">
        <v>181</v>
      </c>
      <c r="C41" t="s">
        <v>182</v>
      </c>
      <c r="D41">
        <v>926</v>
      </c>
      <c r="E41" t="s">
        <v>183</v>
      </c>
      <c r="F41" t="s">
        <v>59</v>
      </c>
      <c r="G41" t="s">
        <v>13</v>
      </c>
      <c r="H41" t="s">
        <v>184</v>
      </c>
      <c r="I41" s="2">
        <v>45915</v>
      </c>
    </row>
    <row r="42" spans="1:9" x14ac:dyDescent="0.3">
      <c r="A42" t="s">
        <v>185</v>
      </c>
      <c r="B42" t="s">
        <v>185</v>
      </c>
      <c r="C42" t="s">
        <v>186</v>
      </c>
      <c r="D42">
        <v>917</v>
      </c>
      <c r="E42" t="s">
        <v>187</v>
      </c>
      <c r="F42" t="s">
        <v>77</v>
      </c>
      <c r="G42" t="s">
        <v>13</v>
      </c>
      <c r="H42" t="s">
        <v>188</v>
      </c>
      <c r="I42" s="2">
        <v>45901</v>
      </c>
    </row>
    <row r="43" spans="1:9" x14ac:dyDescent="0.3">
      <c r="A43" t="s">
        <v>189</v>
      </c>
      <c r="B43" t="s">
        <v>190</v>
      </c>
      <c r="C43" t="s">
        <v>191</v>
      </c>
      <c r="D43">
        <v>915</v>
      </c>
      <c r="E43" t="s">
        <v>192</v>
      </c>
      <c r="F43" t="s">
        <v>169</v>
      </c>
      <c r="G43" t="s">
        <v>13</v>
      </c>
      <c r="H43" t="s">
        <v>193</v>
      </c>
      <c r="I43" s="2">
        <v>45901</v>
      </c>
    </row>
    <row r="44" spans="1:9" x14ac:dyDescent="0.3">
      <c r="A44" t="s">
        <v>194</v>
      </c>
      <c r="B44" t="s">
        <v>194</v>
      </c>
      <c r="C44" t="s">
        <v>195</v>
      </c>
      <c r="D44">
        <v>911</v>
      </c>
      <c r="E44" t="s">
        <v>196</v>
      </c>
      <c r="F44" t="s">
        <v>77</v>
      </c>
      <c r="G44" t="s">
        <v>13</v>
      </c>
      <c r="H44" t="s">
        <v>99</v>
      </c>
      <c r="I44" s="2">
        <v>45887</v>
      </c>
    </row>
    <row r="45" spans="1:9" x14ac:dyDescent="0.3">
      <c r="A45" t="s">
        <v>197</v>
      </c>
      <c r="B45" t="s">
        <v>51</v>
      </c>
      <c r="C45" t="s">
        <v>198</v>
      </c>
      <c r="D45">
        <v>913</v>
      </c>
      <c r="E45" t="s">
        <v>199</v>
      </c>
      <c r="F45" t="s">
        <v>200</v>
      </c>
      <c r="G45" t="s">
        <v>13</v>
      </c>
      <c r="H45" t="s">
        <v>201</v>
      </c>
      <c r="I45" s="2">
        <v>45887</v>
      </c>
    </row>
    <row r="46" spans="1:9" x14ac:dyDescent="0.3">
      <c r="A46" t="s">
        <v>202</v>
      </c>
      <c r="B46" t="s">
        <v>202</v>
      </c>
      <c r="C46" t="s">
        <v>203</v>
      </c>
      <c r="D46">
        <v>912</v>
      </c>
      <c r="E46" t="s">
        <v>204</v>
      </c>
      <c r="F46" t="s">
        <v>205</v>
      </c>
      <c r="G46" t="s">
        <v>13</v>
      </c>
      <c r="H46" t="s">
        <v>206</v>
      </c>
      <c r="I46" s="2">
        <v>45887</v>
      </c>
    </row>
    <row r="47" spans="1:9" x14ac:dyDescent="0.3">
      <c r="A47" t="s">
        <v>207</v>
      </c>
      <c r="B47" t="s">
        <v>207</v>
      </c>
      <c r="C47" t="s">
        <v>208</v>
      </c>
      <c r="D47" s="3" t="s">
        <v>209</v>
      </c>
      <c r="E47" t="s">
        <v>210</v>
      </c>
      <c r="F47" t="s">
        <v>211</v>
      </c>
      <c r="G47" t="s">
        <v>13</v>
      </c>
      <c r="H47" t="s">
        <v>212</v>
      </c>
      <c r="I47" s="2">
        <v>45887</v>
      </c>
    </row>
    <row r="48" spans="1:9" x14ac:dyDescent="0.3">
      <c r="A48" t="s">
        <v>74</v>
      </c>
      <c r="B48" t="s">
        <v>74</v>
      </c>
      <c r="C48" t="s">
        <v>213</v>
      </c>
      <c r="D48">
        <v>901</v>
      </c>
      <c r="E48" t="s">
        <v>214</v>
      </c>
      <c r="F48" t="s">
        <v>77</v>
      </c>
      <c r="G48" t="s">
        <v>164</v>
      </c>
      <c r="H48" t="s">
        <v>78</v>
      </c>
      <c r="I48" s="2">
        <v>45873</v>
      </c>
    </row>
    <row r="49" spans="1:9" x14ac:dyDescent="0.3">
      <c r="A49" t="s">
        <v>189</v>
      </c>
      <c r="B49" t="s">
        <v>190</v>
      </c>
      <c r="C49" t="s">
        <v>215</v>
      </c>
      <c r="D49">
        <v>905</v>
      </c>
      <c r="E49" t="s">
        <v>216</v>
      </c>
      <c r="F49" t="s">
        <v>217</v>
      </c>
      <c r="G49" t="s">
        <v>13</v>
      </c>
      <c r="H49" t="s">
        <v>193</v>
      </c>
      <c r="I49" s="2">
        <v>45873</v>
      </c>
    </row>
    <row r="50" spans="1:9" x14ac:dyDescent="0.3">
      <c r="A50" t="s">
        <v>197</v>
      </c>
      <c r="B50" t="s">
        <v>51</v>
      </c>
      <c r="C50" t="s">
        <v>218</v>
      </c>
      <c r="D50">
        <v>902</v>
      </c>
      <c r="E50" t="s">
        <v>219</v>
      </c>
      <c r="F50" t="s">
        <v>200</v>
      </c>
      <c r="G50" t="s">
        <v>13</v>
      </c>
      <c r="H50" t="s">
        <v>201</v>
      </c>
      <c r="I50" s="2">
        <v>45873</v>
      </c>
    </row>
    <row r="51" spans="1:9" x14ac:dyDescent="0.3">
      <c r="A51" t="s">
        <v>33</v>
      </c>
      <c r="B51" t="s">
        <v>33</v>
      </c>
      <c r="C51" t="s">
        <v>220</v>
      </c>
      <c r="D51" s="3">
        <v>0</v>
      </c>
      <c r="E51" t="s">
        <v>221</v>
      </c>
      <c r="F51" t="s">
        <v>113</v>
      </c>
      <c r="G51" t="s">
        <v>13</v>
      </c>
      <c r="H51" t="s">
        <v>155</v>
      </c>
      <c r="I51" s="2">
        <v>45873</v>
      </c>
    </row>
    <row r="52" spans="1:9" x14ac:dyDescent="0.3">
      <c r="A52" t="s">
        <v>74</v>
      </c>
      <c r="B52" t="s">
        <v>74</v>
      </c>
      <c r="C52" t="s">
        <v>222</v>
      </c>
      <c r="D52">
        <v>904</v>
      </c>
      <c r="E52" t="s">
        <v>223</v>
      </c>
      <c r="F52" t="s">
        <v>77</v>
      </c>
      <c r="G52" t="s">
        <v>164</v>
      </c>
      <c r="H52" t="s">
        <v>78</v>
      </c>
      <c r="I52" s="2">
        <v>45873</v>
      </c>
    </row>
    <row r="53" spans="1:9" x14ac:dyDescent="0.3">
      <c r="A53" t="s">
        <v>33</v>
      </c>
      <c r="B53" t="s">
        <v>33</v>
      </c>
      <c r="C53" t="s">
        <v>224</v>
      </c>
      <c r="D53" s="3">
        <v>0</v>
      </c>
      <c r="E53" t="s">
        <v>225</v>
      </c>
      <c r="F53" t="s">
        <v>226</v>
      </c>
      <c r="G53" t="s">
        <v>13</v>
      </c>
      <c r="H53" t="s">
        <v>155</v>
      </c>
      <c r="I53" s="2">
        <v>45873</v>
      </c>
    </row>
    <row r="54" spans="1:9" x14ac:dyDescent="0.3">
      <c r="A54" t="s">
        <v>202</v>
      </c>
      <c r="B54" t="s">
        <v>202</v>
      </c>
      <c r="C54" t="s">
        <v>227</v>
      </c>
      <c r="D54">
        <v>898</v>
      </c>
      <c r="E54" t="s">
        <v>228</v>
      </c>
      <c r="F54" t="s">
        <v>211</v>
      </c>
      <c r="G54" t="s">
        <v>13</v>
      </c>
      <c r="H54" t="s">
        <v>206</v>
      </c>
      <c r="I54" s="2">
        <v>45873</v>
      </c>
    </row>
    <row r="55" spans="1:9" x14ac:dyDescent="0.3">
      <c r="A55" t="s">
        <v>72</v>
      </c>
      <c r="B55" t="s">
        <v>72</v>
      </c>
      <c r="C55" t="s">
        <v>229</v>
      </c>
      <c r="D55">
        <v>899</v>
      </c>
      <c r="E55" t="s">
        <v>230</v>
      </c>
      <c r="F55" t="s">
        <v>231</v>
      </c>
      <c r="G55" t="s">
        <v>13</v>
      </c>
      <c r="H55" t="s">
        <v>73</v>
      </c>
      <c r="I55" s="2">
        <v>45873</v>
      </c>
    </row>
    <row r="56" spans="1:9" x14ac:dyDescent="0.3">
      <c r="A56" t="s">
        <v>83</v>
      </c>
      <c r="B56" t="s">
        <v>84</v>
      </c>
      <c r="C56" t="s">
        <v>232</v>
      </c>
      <c r="D56">
        <v>903</v>
      </c>
      <c r="E56" t="s">
        <v>233</v>
      </c>
      <c r="F56" t="s">
        <v>234</v>
      </c>
      <c r="G56" t="s">
        <v>13</v>
      </c>
      <c r="H56" t="s">
        <v>88</v>
      </c>
      <c r="I56" s="2">
        <v>45873</v>
      </c>
    </row>
    <row r="57" spans="1:9" x14ac:dyDescent="0.3">
      <c r="A57" t="s">
        <v>74</v>
      </c>
      <c r="B57" t="s">
        <v>74</v>
      </c>
      <c r="C57" t="s">
        <v>236</v>
      </c>
      <c r="D57">
        <v>896</v>
      </c>
      <c r="E57" t="s">
        <v>237</v>
      </c>
      <c r="F57" t="s">
        <v>77</v>
      </c>
      <c r="G57" t="s">
        <v>13</v>
      </c>
      <c r="H57" t="s">
        <v>78</v>
      </c>
      <c r="I57" s="2">
        <v>45852</v>
      </c>
    </row>
    <row r="58" spans="1:9" x14ac:dyDescent="0.3">
      <c r="A58" t="s">
        <v>61</v>
      </c>
      <c r="B58" t="s">
        <v>61</v>
      </c>
      <c r="C58" t="s">
        <v>238</v>
      </c>
      <c r="D58" s="3" t="s">
        <v>239</v>
      </c>
      <c r="E58" t="s">
        <v>207</v>
      </c>
      <c r="F58" t="s">
        <v>240</v>
      </c>
      <c r="G58" t="s">
        <v>13</v>
      </c>
      <c r="H58" t="s">
        <v>241</v>
      </c>
      <c r="I58" s="2">
        <v>45845</v>
      </c>
    </row>
    <row r="59" spans="1:9" x14ac:dyDescent="0.3">
      <c r="A59" t="s">
        <v>242</v>
      </c>
      <c r="B59" t="s">
        <v>51</v>
      </c>
      <c r="C59" t="s">
        <v>243</v>
      </c>
      <c r="D59" s="3" t="s">
        <v>244</v>
      </c>
      <c r="E59" t="s">
        <v>245</v>
      </c>
      <c r="F59" t="s">
        <v>246</v>
      </c>
      <c r="G59" t="s">
        <v>13</v>
      </c>
      <c r="H59" t="s">
        <v>247</v>
      </c>
      <c r="I59" s="2">
        <v>45839</v>
      </c>
    </row>
    <row r="60" spans="1:9" x14ac:dyDescent="0.3">
      <c r="A60" t="s">
        <v>161</v>
      </c>
      <c r="B60" t="s">
        <v>161</v>
      </c>
      <c r="C60" t="s">
        <v>248</v>
      </c>
      <c r="D60">
        <v>889</v>
      </c>
      <c r="E60" t="s">
        <v>249</v>
      </c>
      <c r="F60" t="s">
        <v>77</v>
      </c>
      <c r="G60" t="s">
        <v>13</v>
      </c>
      <c r="H60" t="s">
        <v>165</v>
      </c>
      <c r="I60" s="2">
        <v>45824</v>
      </c>
    </row>
    <row r="61" spans="1:9" x14ac:dyDescent="0.3">
      <c r="A61" t="s">
        <v>15</v>
      </c>
      <c r="B61" t="s">
        <v>15</v>
      </c>
      <c r="C61" t="s">
        <v>250</v>
      </c>
      <c r="D61" s="3">
        <v>0</v>
      </c>
      <c r="E61" t="s">
        <v>251</v>
      </c>
      <c r="F61" t="s">
        <v>252</v>
      </c>
      <c r="G61" t="s">
        <v>19</v>
      </c>
      <c r="H61" t="s">
        <v>20</v>
      </c>
      <c r="I61" s="2">
        <v>45824</v>
      </c>
    </row>
    <row r="62" spans="1:9" x14ac:dyDescent="0.3">
      <c r="A62" t="s">
        <v>61</v>
      </c>
      <c r="B62" t="s">
        <v>61</v>
      </c>
      <c r="C62" t="s">
        <v>253</v>
      </c>
      <c r="D62">
        <v>891</v>
      </c>
      <c r="E62" t="s">
        <v>202</v>
      </c>
      <c r="F62" t="s">
        <v>240</v>
      </c>
      <c r="G62" t="s">
        <v>13</v>
      </c>
      <c r="H62" t="s">
        <v>241</v>
      </c>
      <c r="I62" s="2">
        <v>45824</v>
      </c>
    </row>
    <row r="63" spans="1:9" x14ac:dyDescent="0.3">
      <c r="A63" t="s">
        <v>202</v>
      </c>
      <c r="B63" t="s">
        <v>202</v>
      </c>
      <c r="C63" t="s">
        <v>254</v>
      </c>
      <c r="D63" s="3" t="s">
        <v>255</v>
      </c>
      <c r="E63" t="s">
        <v>256</v>
      </c>
      <c r="F63" t="s">
        <v>65</v>
      </c>
      <c r="G63" t="s">
        <v>13</v>
      </c>
      <c r="H63" t="s">
        <v>206</v>
      </c>
      <c r="I63" s="2">
        <v>45824</v>
      </c>
    </row>
    <row r="64" spans="1:9" x14ac:dyDescent="0.3">
      <c r="A64" t="s">
        <v>259</v>
      </c>
      <c r="B64" t="s">
        <v>259</v>
      </c>
      <c r="C64" t="s">
        <v>260</v>
      </c>
      <c r="D64" s="3" t="s">
        <v>261</v>
      </c>
      <c r="E64" t="s">
        <v>145</v>
      </c>
      <c r="F64" t="s">
        <v>262</v>
      </c>
      <c r="G64" t="s">
        <v>13</v>
      </c>
      <c r="H64" t="s">
        <v>263</v>
      </c>
      <c r="I64" s="2">
        <v>45810</v>
      </c>
    </row>
    <row r="65" spans="1:9" x14ac:dyDescent="0.3">
      <c r="A65" t="s">
        <v>50</v>
      </c>
      <c r="B65" t="s">
        <v>51</v>
      </c>
      <c r="C65" t="s">
        <v>264</v>
      </c>
      <c r="D65" s="3" t="s">
        <v>265</v>
      </c>
      <c r="E65" t="s">
        <v>266</v>
      </c>
      <c r="F65" t="s">
        <v>267</v>
      </c>
      <c r="G65" t="s">
        <v>13</v>
      </c>
      <c r="H65" t="s">
        <v>56</v>
      </c>
      <c r="I65" s="2">
        <v>45810</v>
      </c>
    </row>
    <row r="66" spans="1:9" x14ac:dyDescent="0.3">
      <c r="A66" t="s">
        <v>21</v>
      </c>
      <c r="B66" t="s">
        <v>22</v>
      </c>
      <c r="C66" t="s">
        <v>268</v>
      </c>
      <c r="D66">
        <v>885</v>
      </c>
      <c r="E66" t="s">
        <v>269</v>
      </c>
      <c r="F66" t="s">
        <v>159</v>
      </c>
      <c r="G66" t="s">
        <v>13</v>
      </c>
      <c r="H66" t="s">
        <v>26</v>
      </c>
      <c r="I66" s="2">
        <v>45810</v>
      </c>
    </row>
    <row r="67" spans="1:9" x14ac:dyDescent="0.3">
      <c r="A67" t="s">
        <v>257</v>
      </c>
      <c r="B67" t="s">
        <v>51</v>
      </c>
      <c r="C67" t="s">
        <v>270</v>
      </c>
      <c r="D67">
        <v>883</v>
      </c>
      <c r="E67" t="s">
        <v>271</v>
      </c>
      <c r="F67" t="s">
        <v>272</v>
      </c>
      <c r="G67" t="s">
        <v>13</v>
      </c>
      <c r="H67" t="s">
        <v>258</v>
      </c>
      <c r="I67" s="2">
        <v>45810</v>
      </c>
    </row>
    <row r="68" spans="1:9" x14ac:dyDescent="0.3">
      <c r="A68" t="s">
        <v>60</v>
      </c>
      <c r="B68" t="s">
        <v>61</v>
      </c>
      <c r="C68" t="s">
        <v>273</v>
      </c>
      <c r="D68" s="3" t="s">
        <v>274</v>
      </c>
      <c r="E68" t="s">
        <v>275</v>
      </c>
      <c r="F68" t="s">
        <v>211</v>
      </c>
      <c r="G68" t="s">
        <v>13</v>
      </c>
      <c r="H68" t="s">
        <v>66</v>
      </c>
      <c r="I68" s="2">
        <v>45810</v>
      </c>
    </row>
    <row r="69" spans="1:9" x14ac:dyDescent="0.3">
      <c r="A69" t="s">
        <v>61</v>
      </c>
      <c r="B69" t="s">
        <v>61</v>
      </c>
      <c r="C69" t="s">
        <v>276</v>
      </c>
      <c r="D69" s="3" t="s">
        <v>277</v>
      </c>
      <c r="E69" t="s">
        <v>278</v>
      </c>
      <c r="F69" t="s">
        <v>240</v>
      </c>
      <c r="G69" t="s">
        <v>13</v>
      </c>
      <c r="H69" t="s">
        <v>241</v>
      </c>
      <c r="I69" s="2">
        <v>45796</v>
      </c>
    </row>
    <row r="70" spans="1:9" x14ac:dyDescent="0.3">
      <c r="A70" t="s">
        <v>145</v>
      </c>
      <c r="B70" t="s">
        <v>145</v>
      </c>
      <c r="C70" t="s">
        <v>279</v>
      </c>
      <c r="D70">
        <v>881</v>
      </c>
      <c r="E70" t="s">
        <v>280</v>
      </c>
      <c r="F70" t="s">
        <v>281</v>
      </c>
      <c r="G70" t="s">
        <v>13</v>
      </c>
      <c r="H70" t="s">
        <v>150</v>
      </c>
      <c r="I70" s="2">
        <v>45789</v>
      </c>
    </row>
    <row r="71" spans="1:9" x14ac:dyDescent="0.3">
      <c r="A71" t="s">
        <v>282</v>
      </c>
      <c r="B71" t="s">
        <v>84</v>
      </c>
      <c r="C71" t="s">
        <v>283</v>
      </c>
      <c r="D71">
        <v>879</v>
      </c>
      <c r="E71" t="s">
        <v>284</v>
      </c>
      <c r="F71" t="s">
        <v>285</v>
      </c>
      <c r="G71" t="s">
        <v>13</v>
      </c>
      <c r="H71" t="s">
        <v>286</v>
      </c>
      <c r="I71" s="2">
        <v>45789</v>
      </c>
    </row>
    <row r="72" spans="1:9" x14ac:dyDescent="0.3">
      <c r="A72" t="s">
        <v>126</v>
      </c>
      <c r="B72" t="s">
        <v>126</v>
      </c>
      <c r="C72" t="s">
        <v>287</v>
      </c>
      <c r="D72">
        <v>880</v>
      </c>
      <c r="E72" t="s">
        <v>288</v>
      </c>
      <c r="F72" t="s">
        <v>289</v>
      </c>
      <c r="G72" t="s">
        <v>13</v>
      </c>
      <c r="H72" t="s">
        <v>290</v>
      </c>
      <c r="I72" s="2">
        <v>45789</v>
      </c>
    </row>
    <row r="73" spans="1:9" x14ac:dyDescent="0.3">
      <c r="A73" t="s">
        <v>259</v>
      </c>
      <c r="B73" t="s">
        <v>259</v>
      </c>
      <c r="C73" t="s">
        <v>291</v>
      </c>
      <c r="D73">
        <v>882</v>
      </c>
      <c r="E73" t="s">
        <v>292</v>
      </c>
      <c r="F73" t="s">
        <v>281</v>
      </c>
      <c r="G73" t="s">
        <v>13</v>
      </c>
      <c r="H73" t="s">
        <v>293</v>
      </c>
      <c r="I73" s="2">
        <v>45789</v>
      </c>
    </row>
    <row r="74" spans="1:9" x14ac:dyDescent="0.3">
      <c r="A74" t="s">
        <v>91</v>
      </c>
      <c r="B74" t="s">
        <v>91</v>
      </c>
      <c r="C74" t="s">
        <v>294</v>
      </c>
      <c r="D74">
        <v>874</v>
      </c>
      <c r="E74" t="s">
        <v>295</v>
      </c>
      <c r="F74" t="s">
        <v>113</v>
      </c>
      <c r="G74" t="s">
        <v>13</v>
      </c>
      <c r="H74" s="1" t="s">
        <v>95</v>
      </c>
      <c r="I74" s="2">
        <v>45782</v>
      </c>
    </row>
    <row r="75" spans="1:9" x14ac:dyDescent="0.3">
      <c r="A75" t="s">
        <v>91</v>
      </c>
      <c r="B75" t="s">
        <v>91</v>
      </c>
      <c r="C75" t="s">
        <v>296</v>
      </c>
      <c r="D75">
        <v>875</v>
      </c>
      <c r="E75" t="s">
        <v>297</v>
      </c>
      <c r="F75" t="s">
        <v>113</v>
      </c>
      <c r="G75" t="s">
        <v>13</v>
      </c>
      <c r="H75" t="s">
        <v>95</v>
      </c>
      <c r="I75" s="2">
        <v>45782</v>
      </c>
    </row>
    <row r="76" spans="1:9" x14ac:dyDescent="0.3">
      <c r="A76" t="s">
        <v>72</v>
      </c>
      <c r="B76" t="s">
        <v>72</v>
      </c>
      <c r="C76" t="s">
        <v>298</v>
      </c>
      <c r="D76">
        <v>871</v>
      </c>
      <c r="E76" t="s">
        <v>299</v>
      </c>
      <c r="F76" t="s">
        <v>231</v>
      </c>
      <c r="G76" t="s">
        <v>13</v>
      </c>
      <c r="H76" t="s">
        <v>73</v>
      </c>
      <c r="I76" s="2">
        <v>45782</v>
      </c>
    </row>
    <row r="77" spans="1:9" x14ac:dyDescent="0.3">
      <c r="A77" t="s">
        <v>117</v>
      </c>
      <c r="B77" t="s">
        <v>28</v>
      </c>
      <c r="C77" t="s">
        <v>300</v>
      </c>
      <c r="D77">
        <v>877</v>
      </c>
      <c r="E77" t="s">
        <v>301</v>
      </c>
      <c r="F77" t="s">
        <v>94</v>
      </c>
      <c r="G77" t="s">
        <v>13</v>
      </c>
      <c r="H77" t="s">
        <v>120</v>
      </c>
      <c r="I77" s="2">
        <v>45782</v>
      </c>
    </row>
    <row r="78" spans="1:9" x14ac:dyDescent="0.3">
      <c r="A78" t="s">
        <v>83</v>
      </c>
      <c r="B78" t="s">
        <v>84</v>
      </c>
      <c r="C78" t="s">
        <v>302</v>
      </c>
      <c r="D78">
        <v>878</v>
      </c>
      <c r="E78" t="s">
        <v>303</v>
      </c>
      <c r="F78" t="s">
        <v>304</v>
      </c>
      <c r="G78" t="s">
        <v>13</v>
      </c>
      <c r="H78" t="s">
        <v>88</v>
      </c>
      <c r="I78" s="2">
        <v>45782</v>
      </c>
    </row>
    <row r="79" spans="1:9" x14ac:dyDescent="0.3">
      <c r="A79" t="s">
        <v>305</v>
      </c>
      <c r="B79" t="s">
        <v>306</v>
      </c>
      <c r="C79" t="s">
        <v>307</v>
      </c>
      <c r="D79">
        <v>869</v>
      </c>
      <c r="E79" t="s">
        <v>308</v>
      </c>
      <c r="F79" t="s">
        <v>309</v>
      </c>
      <c r="G79" t="s">
        <v>13</v>
      </c>
      <c r="H79" t="s">
        <v>310</v>
      </c>
      <c r="I79" s="2">
        <v>45761</v>
      </c>
    </row>
    <row r="80" spans="1:9" x14ac:dyDescent="0.3">
      <c r="A80" t="s">
        <v>83</v>
      </c>
      <c r="B80" t="s">
        <v>84</v>
      </c>
      <c r="C80" t="s">
        <v>311</v>
      </c>
      <c r="D80">
        <v>862</v>
      </c>
      <c r="E80" t="s">
        <v>312</v>
      </c>
      <c r="F80" t="s">
        <v>234</v>
      </c>
      <c r="G80" t="s">
        <v>13</v>
      </c>
      <c r="H80" t="s">
        <v>88</v>
      </c>
      <c r="I80" s="2">
        <v>45761</v>
      </c>
    </row>
    <row r="81" spans="1:9" x14ac:dyDescent="0.3">
      <c r="A81" t="s">
        <v>194</v>
      </c>
      <c r="B81" t="s">
        <v>194</v>
      </c>
      <c r="C81" t="s">
        <v>313</v>
      </c>
      <c r="D81">
        <v>855</v>
      </c>
      <c r="E81" t="s">
        <v>314</v>
      </c>
      <c r="F81" t="s">
        <v>12</v>
      </c>
      <c r="G81" t="s">
        <v>164</v>
      </c>
      <c r="H81" t="s">
        <v>99</v>
      </c>
      <c r="I81" s="2">
        <v>45761</v>
      </c>
    </row>
    <row r="82" spans="1:9" x14ac:dyDescent="0.3">
      <c r="A82" t="s">
        <v>117</v>
      </c>
      <c r="B82" t="s">
        <v>28</v>
      </c>
      <c r="C82" t="s">
        <v>315</v>
      </c>
      <c r="D82">
        <v>865</v>
      </c>
      <c r="E82" t="s">
        <v>316</v>
      </c>
      <c r="F82" t="s">
        <v>94</v>
      </c>
      <c r="G82" t="s">
        <v>13</v>
      </c>
      <c r="H82" t="s">
        <v>120</v>
      </c>
      <c r="I82" s="2">
        <v>45761</v>
      </c>
    </row>
    <row r="83" spans="1:9" x14ac:dyDescent="0.3">
      <c r="A83" t="s">
        <v>305</v>
      </c>
      <c r="B83" t="s">
        <v>306</v>
      </c>
      <c r="C83" t="s">
        <v>317</v>
      </c>
      <c r="D83">
        <v>866</v>
      </c>
      <c r="E83" t="s">
        <v>318</v>
      </c>
      <c r="F83" t="s">
        <v>309</v>
      </c>
      <c r="G83" t="s">
        <v>13</v>
      </c>
      <c r="H83" t="s">
        <v>310</v>
      </c>
      <c r="I83" s="2">
        <v>45761</v>
      </c>
    </row>
    <row r="84" spans="1:9" x14ac:dyDescent="0.3">
      <c r="A84" t="s">
        <v>74</v>
      </c>
      <c r="B84" t="s">
        <v>74</v>
      </c>
      <c r="C84" t="s">
        <v>322</v>
      </c>
      <c r="D84">
        <v>863</v>
      </c>
      <c r="E84" t="s">
        <v>323</v>
      </c>
      <c r="F84" t="s">
        <v>12</v>
      </c>
      <c r="G84" t="s">
        <v>13</v>
      </c>
      <c r="H84" t="s">
        <v>78</v>
      </c>
      <c r="I84" s="2">
        <v>45761</v>
      </c>
    </row>
    <row r="85" spans="1:9" x14ac:dyDescent="0.3">
      <c r="A85" t="s">
        <v>305</v>
      </c>
      <c r="B85" t="s">
        <v>306</v>
      </c>
      <c r="C85" t="s">
        <v>324</v>
      </c>
      <c r="D85">
        <v>867</v>
      </c>
      <c r="E85" t="s">
        <v>325</v>
      </c>
      <c r="F85" t="s">
        <v>309</v>
      </c>
      <c r="G85" t="s">
        <v>13</v>
      </c>
      <c r="H85" t="s">
        <v>310</v>
      </c>
      <c r="I85" s="2">
        <v>45761</v>
      </c>
    </row>
    <row r="86" spans="1:9" x14ac:dyDescent="0.3">
      <c r="A86" t="s">
        <v>305</v>
      </c>
      <c r="B86" t="s">
        <v>306</v>
      </c>
      <c r="C86" t="s">
        <v>326</v>
      </c>
      <c r="D86">
        <v>868</v>
      </c>
      <c r="E86" t="s">
        <v>327</v>
      </c>
      <c r="F86" t="s">
        <v>309</v>
      </c>
      <c r="G86" t="s">
        <v>13</v>
      </c>
      <c r="H86" t="s">
        <v>310</v>
      </c>
      <c r="I86" s="2">
        <v>45761</v>
      </c>
    </row>
    <row r="87" spans="1:9" x14ac:dyDescent="0.3">
      <c r="A87" t="s">
        <v>305</v>
      </c>
      <c r="B87" t="s">
        <v>306</v>
      </c>
      <c r="C87" t="s">
        <v>328</v>
      </c>
      <c r="D87">
        <v>864</v>
      </c>
      <c r="E87" t="s">
        <v>329</v>
      </c>
      <c r="F87" t="s">
        <v>309</v>
      </c>
      <c r="G87" t="s">
        <v>13</v>
      </c>
      <c r="H87" t="s">
        <v>310</v>
      </c>
      <c r="I87" s="2">
        <v>45761</v>
      </c>
    </row>
    <row r="88" spans="1:9" x14ac:dyDescent="0.3">
      <c r="A88" t="s">
        <v>259</v>
      </c>
      <c r="B88" t="s">
        <v>259</v>
      </c>
      <c r="C88" t="s">
        <v>330</v>
      </c>
      <c r="D88">
        <v>861</v>
      </c>
      <c r="E88" t="s">
        <v>331</v>
      </c>
      <c r="F88" t="s">
        <v>281</v>
      </c>
      <c r="G88" t="s">
        <v>13</v>
      </c>
      <c r="H88" t="s">
        <v>293</v>
      </c>
      <c r="I88" s="2">
        <v>45761</v>
      </c>
    </row>
    <row r="89" spans="1:9" x14ac:dyDescent="0.3">
      <c r="A89" t="s">
        <v>332</v>
      </c>
      <c r="B89" t="s">
        <v>332</v>
      </c>
      <c r="C89" t="s">
        <v>333</v>
      </c>
      <c r="D89" s="3" t="s">
        <v>334</v>
      </c>
      <c r="E89" t="s">
        <v>335</v>
      </c>
      <c r="F89" t="s">
        <v>336</v>
      </c>
      <c r="G89" t="s">
        <v>337</v>
      </c>
      <c r="H89" t="s">
        <v>338</v>
      </c>
      <c r="I89" s="2">
        <v>45758</v>
      </c>
    </row>
    <row r="90" spans="1:9" x14ac:dyDescent="0.3">
      <c r="A90" t="s">
        <v>15</v>
      </c>
      <c r="B90" t="s">
        <v>15</v>
      </c>
      <c r="C90" t="s">
        <v>339</v>
      </c>
      <c r="D90" s="3">
        <v>0</v>
      </c>
      <c r="E90" t="s">
        <v>340</v>
      </c>
      <c r="F90" t="s">
        <v>123</v>
      </c>
      <c r="G90" t="s">
        <v>19</v>
      </c>
      <c r="H90" t="s">
        <v>20</v>
      </c>
      <c r="I90" s="2">
        <v>45757</v>
      </c>
    </row>
    <row r="91" spans="1:9" x14ac:dyDescent="0.3">
      <c r="A91" t="s">
        <v>189</v>
      </c>
      <c r="B91" t="s">
        <v>190</v>
      </c>
      <c r="C91" t="s">
        <v>341</v>
      </c>
      <c r="D91">
        <v>860</v>
      </c>
      <c r="E91" t="s">
        <v>342</v>
      </c>
      <c r="F91" t="s">
        <v>343</v>
      </c>
      <c r="G91" t="s">
        <v>13</v>
      </c>
      <c r="H91" t="s">
        <v>193</v>
      </c>
      <c r="I91" s="2">
        <v>45754</v>
      </c>
    </row>
    <row r="92" spans="1:9" x14ac:dyDescent="0.3">
      <c r="A92" t="s">
        <v>190</v>
      </c>
      <c r="B92" t="s">
        <v>190</v>
      </c>
      <c r="C92" t="s">
        <v>344</v>
      </c>
      <c r="D92">
        <v>856</v>
      </c>
      <c r="E92" t="s">
        <v>189</v>
      </c>
      <c r="F92" t="s">
        <v>345</v>
      </c>
      <c r="G92" t="s">
        <v>13</v>
      </c>
      <c r="H92" t="s">
        <v>346</v>
      </c>
      <c r="I92" s="2">
        <v>45733</v>
      </c>
    </row>
    <row r="93" spans="1:9" x14ac:dyDescent="0.3">
      <c r="A93" t="s">
        <v>91</v>
      </c>
      <c r="B93" t="s">
        <v>91</v>
      </c>
      <c r="C93" t="s">
        <v>347</v>
      </c>
      <c r="D93">
        <v>852</v>
      </c>
      <c r="E93" t="s">
        <v>348</v>
      </c>
      <c r="F93" t="s">
        <v>113</v>
      </c>
      <c r="G93" t="s">
        <v>13</v>
      </c>
      <c r="H93" t="s">
        <v>95</v>
      </c>
      <c r="I93" s="2">
        <v>45722</v>
      </c>
    </row>
    <row r="94" spans="1:9" x14ac:dyDescent="0.3">
      <c r="A94" t="s">
        <v>156</v>
      </c>
      <c r="B94" t="s">
        <v>156</v>
      </c>
      <c r="C94" t="s">
        <v>349</v>
      </c>
      <c r="D94">
        <v>848</v>
      </c>
      <c r="E94" t="s">
        <v>350</v>
      </c>
      <c r="F94" t="s">
        <v>25</v>
      </c>
      <c r="G94" t="s">
        <v>13</v>
      </c>
      <c r="H94" t="s">
        <v>160</v>
      </c>
      <c r="I94" s="2">
        <v>45722</v>
      </c>
    </row>
    <row r="95" spans="1:9" x14ac:dyDescent="0.3">
      <c r="A95" t="s">
        <v>91</v>
      </c>
      <c r="B95" t="s">
        <v>91</v>
      </c>
      <c r="C95" t="s">
        <v>351</v>
      </c>
      <c r="D95">
        <v>847</v>
      </c>
      <c r="E95" t="s">
        <v>352</v>
      </c>
      <c r="F95" t="s">
        <v>113</v>
      </c>
      <c r="G95" t="s">
        <v>13</v>
      </c>
      <c r="H95" t="s">
        <v>95</v>
      </c>
      <c r="I95" s="2">
        <v>45722</v>
      </c>
    </row>
    <row r="96" spans="1:9" x14ac:dyDescent="0.3">
      <c r="A96" t="s">
        <v>74</v>
      </c>
      <c r="B96" t="s">
        <v>74</v>
      </c>
      <c r="C96" t="s">
        <v>353</v>
      </c>
      <c r="D96">
        <v>850</v>
      </c>
      <c r="E96" t="s">
        <v>354</v>
      </c>
      <c r="F96" t="s">
        <v>77</v>
      </c>
      <c r="G96" t="s">
        <v>13</v>
      </c>
      <c r="H96" t="s">
        <v>78</v>
      </c>
      <c r="I96" s="2">
        <v>45722</v>
      </c>
    </row>
    <row r="97" spans="1:9" x14ac:dyDescent="0.3">
      <c r="A97" t="s">
        <v>74</v>
      </c>
      <c r="B97" t="s">
        <v>74</v>
      </c>
      <c r="C97" t="s">
        <v>355</v>
      </c>
      <c r="D97">
        <v>849</v>
      </c>
      <c r="E97" t="s">
        <v>356</v>
      </c>
      <c r="F97" t="s">
        <v>77</v>
      </c>
      <c r="G97" t="s">
        <v>13</v>
      </c>
      <c r="H97" t="s">
        <v>78</v>
      </c>
      <c r="I97" s="2">
        <v>45722</v>
      </c>
    </row>
    <row r="98" spans="1:9" x14ac:dyDescent="0.3">
      <c r="A98" t="s">
        <v>357</v>
      </c>
      <c r="B98" t="s">
        <v>357</v>
      </c>
      <c r="C98" t="s">
        <v>358</v>
      </c>
      <c r="D98">
        <v>853</v>
      </c>
      <c r="E98" t="s">
        <v>359</v>
      </c>
      <c r="F98" t="s">
        <v>77</v>
      </c>
      <c r="G98" t="s">
        <v>13</v>
      </c>
      <c r="H98" t="s">
        <v>14</v>
      </c>
      <c r="I98" s="2">
        <v>45722</v>
      </c>
    </row>
    <row r="99" spans="1:9" x14ac:dyDescent="0.3">
      <c r="A99" t="s">
        <v>27</v>
      </c>
      <c r="B99" t="s">
        <v>28</v>
      </c>
      <c r="C99" t="s">
        <v>360</v>
      </c>
      <c r="D99">
        <v>851</v>
      </c>
      <c r="E99" t="s">
        <v>361</v>
      </c>
      <c r="F99" t="s">
        <v>94</v>
      </c>
      <c r="G99" t="s">
        <v>13</v>
      </c>
      <c r="H99" t="s">
        <v>32</v>
      </c>
      <c r="I99" s="2">
        <v>45722</v>
      </c>
    </row>
    <row r="100" spans="1:9" x14ac:dyDescent="0.3">
      <c r="A100" t="s">
        <v>33</v>
      </c>
      <c r="B100" t="s">
        <v>33</v>
      </c>
      <c r="C100" t="s">
        <v>362</v>
      </c>
      <c r="D100">
        <v>844</v>
      </c>
      <c r="E100" t="s">
        <v>363</v>
      </c>
      <c r="F100" t="s">
        <v>169</v>
      </c>
      <c r="G100" t="s">
        <v>13</v>
      </c>
      <c r="H100" t="s">
        <v>155</v>
      </c>
      <c r="I100" s="2">
        <v>45722</v>
      </c>
    </row>
    <row r="101" spans="1:9" x14ac:dyDescent="0.3">
      <c r="A101" t="s">
        <v>74</v>
      </c>
      <c r="B101" t="s">
        <v>74</v>
      </c>
      <c r="C101" t="s">
        <v>364</v>
      </c>
      <c r="D101">
        <v>854</v>
      </c>
      <c r="E101" t="s">
        <v>365</v>
      </c>
      <c r="F101" t="s">
        <v>77</v>
      </c>
      <c r="G101" t="s">
        <v>13</v>
      </c>
      <c r="H101" t="s">
        <v>78</v>
      </c>
      <c r="I101" s="2">
        <v>45721</v>
      </c>
    </row>
    <row r="102" spans="1:9" x14ac:dyDescent="0.3">
      <c r="A102" t="s">
        <v>91</v>
      </c>
      <c r="B102" t="s">
        <v>91</v>
      </c>
      <c r="C102" t="s">
        <v>366</v>
      </c>
      <c r="D102">
        <v>828</v>
      </c>
      <c r="E102" t="s">
        <v>367</v>
      </c>
      <c r="F102" t="s">
        <v>169</v>
      </c>
      <c r="G102" t="s">
        <v>13</v>
      </c>
      <c r="H102" t="s">
        <v>155</v>
      </c>
      <c r="I102" s="2">
        <v>45705</v>
      </c>
    </row>
    <row r="103" spans="1:9" x14ac:dyDescent="0.3">
      <c r="A103" t="s">
        <v>189</v>
      </c>
      <c r="B103" t="s">
        <v>190</v>
      </c>
      <c r="C103" t="s">
        <v>368</v>
      </c>
      <c r="D103">
        <v>826</v>
      </c>
      <c r="E103" t="s">
        <v>369</v>
      </c>
      <c r="F103" t="s">
        <v>370</v>
      </c>
      <c r="G103" t="s">
        <v>13</v>
      </c>
      <c r="H103" t="s">
        <v>193</v>
      </c>
      <c r="I103" s="2">
        <v>45705</v>
      </c>
    </row>
    <row r="104" spans="1:9" x14ac:dyDescent="0.3">
      <c r="A104" t="s">
        <v>185</v>
      </c>
      <c r="B104" t="s">
        <v>185</v>
      </c>
      <c r="C104" t="s">
        <v>371</v>
      </c>
      <c r="D104">
        <v>838</v>
      </c>
      <c r="E104" t="s">
        <v>372</v>
      </c>
      <c r="F104" t="s">
        <v>12</v>
      </c>
      <c r="G104" t="s">
        <v>164</v>
      </c>
      <c r="H104" t="s">
        <v>188</v>
      </c>
      <c r="I104" s="2">
        <v>45705</v>
      </c>
    </row>
    <row r="105" spans="1:9" x14ac:dyDescent="0.3">
      <c r="A105" t="s">
        <v>185</v>
      </c>
      <c r="B105" t="s">
        <v>185</v>
      </c>
      <c r="C105" t="s">
        <v>373</v>
      </c>
      <c r="D105">
        <v>843</v>
      </c>
      <c r="E105" t="s">
        <v>374</v>
      </c>
      <c r="F105" t="s">
        <v>12</v>
      </c>
      <c r="G105" t="s">
        <v>164</v>
      </c>
      <c r="H105" t="s">
        <v>188</v>
      </c>
      <c r="I105" s="2">
        <v>45705</v>
      </c>
    </row>
    <row r="106" spans="1:9" x14ac:dyDescent="0.3">
      <c r="A106" t="s">
        <v>357</v>
      </c>
      <c r="B106" t="s">
        <v>357</v>
      </c>
      <c r="C106" t="s">
        <v>375</v>
      </c>
      <c r="D106">
        <v>829</v>
      </c>
      <c r="E106" t="s">
        <v>376</v>
      </c>
      <c r="F106" t="s">
        <v>12</v>
      </c>
      <c r="G106" t="s">
        <v>164</v>
      </c>
      <c r="H106" t="s">
        <v>14</v>
      </c>
      <c r="I106" s="2">
        <v>45705</v>
      </c>
    </row>
    <row r="107" spans="1:9" x14ac:dyDescent="0.3">
      <c r="A107" t="s">
        <v>185</v>
      </c>
      <c r="B107" t="s">
        <v>185</v>
      </c>
      <c r="C107" t="s">
        <v>377</v>
      </c>
      <c r="D107">
        <v>833</v>
      </c>
      <c r="E107" t="s">
        <v>378</v>
      </c>
      <c r="F107" t="s">
        <v>12</v>
      </c>
      <c r="G107" t="s">
        <v>164</v>
      </c>
      <c r="H107" t="s">
        <v>188</v>
      </c>
      <c r="I107" s="2">
        <v>45705</v>
      </c>
    </row>
    <row r="108" spans="1:9" x14ac:dyDescent="0.3">
      <c r="A108" t="s">
        <v>357</v>
      </c>
      <c r="B108" t="s">
        <v>357</v>
      </c>
      <c r="C108" t="s">
        <v>379</v>
      </c>
      <c r="D108">
        <v>830</v>
      </c>
      <c r="E108" t="s">
        <v>380</v>
      </c>
      <c r="F108" t="s">
        <v>12</v>
      </c>
      <c r="G108" t="s">
        <v>164</v>
      </c>
      <c r="H108" t="s">
        <v>14</v>
      </c>
      <c r="I108" s="2">
        <v>45705</v>
      </c>
    </row>
    <row r="109" spans="1:9" x14ac:dyDescent="0.3">
      <c r="A109" t="s">
        <v>106</v>
      </c>
      <c r="B109" t="s">
        <v>106</v>
      </c>
      <c r="C109" t="s">
        <v>381</v>
      </c>
      <c r="D109">
        <v>827</v>
      </c>
      <c r="E109" t="s">
        <v>382</v>
      </c>
      <c r="F109" t="s">
        <v>180</v>
      </c>
      <c r="G109" t="s">
        <v>13</v>
      </c>
      <c r="H109" t="s">
        <v>110</v>
      </c>
      <c r="I109" s="2">
        <v>45705</v>
      </c>
    </row>
    <row r="110" spans="1:9" x14ac:dyDescent="0.3">
      <c r="A110" t="s">
        <v>161</v>
      </c>
      <c r="B110" t="s">
        <v>161</v>
      </c>
      <c r="C110" t="s">
        <v>383</v>
      </c>
      <c r="D110">
        <v>814</v>
      </c>
      <c r="E110" t="s">
        <v>384</v>
      </c>
      <c r="F110" t="s">
        <v>12</v>
      </c>
      <c r="G110" t="s">
        <v>164</v>
      </c>
      <c r="H110" t="s">
        <v>165</v>
      </c>
      <c r="I110" s="2">
        <v>45691</v>
      </c>
    </row>
    <row r="111" spans="1:9" x14ac:dyDescent="0.3">
      <c r="A111" t="s">
        <v>385</v>
      </c>
      <c r="B111" t="s">
        <v>385</v>
      </c>
      <c r="C111" t="s">
        <v>386</v>
      </c>
      <c r="D111">
        <v>824</v>
      </c>
      <c r="E111" t="s">
        <v>74</v>
      </c>
      <c r="F111" t="s">
        <v>387</v>
      </c>
      <c r="G111" t="s">
        <v>13</v>
      </c>
      <c r="H111" t="s">
        <v>78</v>
      </c>
      <c r="I111" s="2">
        <v>45691</v>
      </c>
    </row>
    <row r="112" spans="1:9" x14ac:dyDescent="0.3">
      <c r="A112" t="s">
        <v>161</v>
      </c>
      <c r="B112" t="s">
        <v>161</v>
      </c>
      <c r="C112" t="s">
        <v>388</v>
      </c>
      <c r="D112">
        <v>818</v>
      </c>
      <c r="E112" t="s">
        <v>389</v>
      </c>
      <c r="F112" t="s">
        <v>12</v>
      </c>
      <c r="G112" t="s">
        <v>164</v>
      </c>
      <c r="H112" t="s">
        <v>165</v>
      </c>
      <c r="I112" s="2">
        <v>45691</v>
      </c>
    </row>
    <row r="113" spans="1:9" x14ac:dyDescent="0.3">
      <c r="A113" t="s">
        <v>117</v>
      </c>
      <c r="B113" t="s">
        <v>28</v>
      </c>
      <c r="C113" t="s">
        <v>390</v>
      </c>
      <c r="D113">
        <v>811</v>
      </c>
      <c r="E113" t="s">
        <v>391</v>
      </c>
      <c r="F113" t="s">
        <v>177</v>
      </c>
      <c r="G113" t="s">
        <v>13</v>
      </c>
      <c r="H113" t="s">
        <v>120</v>
      </c>
      <c r="I113" s="2">
        <v>45691</v>
      </c>
    </row>
    <row r="114" spans="1:9" x14ac:dyDescent="0.3">
      <c r="A114" t="s">
        <v>161</v>
      </c>
      <c r="B114" t="s">
        <v>161</v>
      </c>
      <c r="C114" t="s">
        <v>392</v>
      </c>
      <c r="D114">
        <v>813</v>
      </c>
      <c r="E114" t="s">
        <v>393</v>
      </c>
      <c r="F114" t="s">
        <v>12</v>
      </c>
      <c r="G114" t="s">
        <v>164</v>
      </c>
      <c r="H114" t="s">
        <v>165</v>
      </c>
      <c r="I114" s="2">
        <v>45691</v>
      </c>
    </row>
    <row r="115" spans="1:9" x14ac:dyDescent="0.3">
      <c r="A115" t="s">
        <v>161</v>
      </c>
      <c r="B115" t="s">
        <v>161</v>
      </c>
      <c r="C115" t="s">
        <v>394</v>
      </c>
      <c r="D115">
        <v>820</v>
      </c>
      <c r="E115" t="s">
        <v>395</v>
      </c>
      <c r="F115" t="s">
        <v>12</v>
      </c>
      <c r="G115" t="s">
        <v>164</v>
      </c>
      <c r="H115" t="s">
        <v>165</v>
      </c>
      <c r="I115" s="2">
        <v>45691</v>
      </c>
    </row>
    <row r="116" spans="1:9" x14ac:dyDescent="0.3">
      <c r="A116" t="s">
        <v>161</v>
      </c>
      <c r="B116" t="s">
        <v>161</v>
      </c>
      <c r="C116" t="s">
        <v>396</v>
      </c>
      <c r="D116">
        <v>825</v>
      </c>
      <c r="E116" t="s">
        <v>397</v>
      </c>
      <c r="F116" t="s">
        <v>77</v>
      </c>
      <c r="G116" t="s">
        <v>13</v>
      </c>
      <c r="H116" t="s">
        <v>165</v>
      </c>
      <c r="I116" s="2">
        <v>45690</v>
      </c>
    </row>
    <row r="117" spans="1:9" x14ac:dyDescent="0.3">
      <c r="A117" t="s">
        <v>185</v>
      </c>
      <c r="B117" t="s">
        <v>185</v>
      </c>
      <c r="C117" t="s">
        <v>398</v>
      </c>
      <c r="D117">
        <v>817</v>
      </c>
      <c r="E117" t="s">
        <v>399</v>
      </c>
      <c r="F117" t="s">
        <v>12</v>
      </c>
      <c r="G117" t="s">
        <v>164</v>
      </c>
      <c r="H117" t="s">
        <v>188</v>
      </c>
      <c r="I117" s="2">
        <v>45684</v>
      </c>
    </row>
    <row r="118" spans="1:9" x14ac:dyDescent="0.3">
      <c r="A118" t="s">
        <v>185</v>
      </c>
      <c r="B118" t="s">
        <v>185</v>
      </c>
      <c r="C118" t="s">
        <v>400</v>
      </c>
      <c r="D118">
        <v>810</v>
      </c>
      <c r="E118" t="s">
        <v>401</v>
      </c>
      <c r="F118" t="s">
        <v>77</v>
      </c>
      <c r="G118" t="s">
        <v>164</v>
      </c>
      <c r="H118" t="s">
        <v>188</v>
      </c>
      <c r="I118" s="2">
        <v>45680</v>
      </c>
    </row>
    <row r="119" spans="1:9" x14ac:dyDescent="0.3">
      <c r="A119" t="s">
        <v>197</v>
      </c>
      <c r="B119" t="s">
        <v>51</v>
      </c>
      <c r="C119" t="s">
        <v>402</v>
      </c>
      <c r="D119">
        <v>809</v>
      </c>
      <c r="E119" t="s">
        <v>403</v>
      </c>
      <c r="F119" t="s">
        <v>200</v>
      </c>
      <c r="G119" t="s">
        <v>13</v>
      </c>
      <c r="H119" t="s">
        <v>201</v>
      </c>
      <c r="I119" s="2">
        <v>45677</v>
      </c>
    </row>
    <row r="120" spans="1:9" x14ac:dyDescent="0.3">
      <c r="A120" t="s">
        <v>15</v>
      </c>
      <c r="B120" t="s">
        <v>15</v>
      </c>
      <c r="C120" t="s">
        <v>404</v>
      </c>
      <c r="D120" s="3" t="s">
        <v>405</v>
      </c>
      <c r="E120" t="s">
        <v>406</v>
      </c>
      <c r="F120" t="s">
        <v>407</v>
      </c>
      <c r="G120" t="s">
        <v>19</v>
      </c>
      <c r="H120" t="s">
        <v>20</v>
      </c>
      <c r="I120" s="2">
        <v>45677</v>
      </c>
    </row>
    <row r="121" spans="1:9" x14ac:dyDescent="0.3">
      <c r="A121" t="s">
        <v>50</v>
      </c>
      <c r="B121" t="s">
        <v>51</v>
      </c>
      <c r="C121" t="s">
        <v>408</v>
      </c>
      <c r="D121">
        <v>804</v>
      </c>
      <c r="E121" t="s">
        <v>409</v>
      </c>
      <c r="F121" t="s">
        <v>267</v>
      </c>
      <c r="G121" t="s">
        <v>13</v>
      </c>
      <c r="H121" t="s">
        <v>56</v>
      </c>
      <c r="I121" s="2">
        <v>45663</v>
      </c>
    </row>
    <row r="122" spans="1:9" x14ac:dyDescent="0.3">
      <c r="A122" t="s">
        <v>319</v>
      </c>
      <c r="B122" t="s">
        <v>306</v>
      </c>
      <c r="C122" t="s">
        <v>410</v>
      </c>
      <c r="D122">
        <v>802</v>
      </c>
      <c r="E122" t="s">
        <v>135</v>
      </c>
      <c r="F122" t="s">
        <v>411</v>
      </c>
      <c r="G122" t="s">
        <v>13</v>
      </c>
      <c r="H122" t="s">
        <v>412</v>
      </c>
      <c r="I122" s="2">
        <v>45659</v>
      </c>
    </row>
    <row r="123" spans="1:9" x14ac:dyDescent="0.3">
      <c r="A123" t="s">
        <v>84</v>
      </c>
      <c r="B123" t="s">
        <v>84</v>
      </c>
      <c r="C123" t="s">
        <v>413</v>
      </c>
      <c r="D123">
        <v>800</v>
      </c>
      <c r="E123" t="s">
        <v>282</v>
      </c>
      <c r="F123" t="s">
        <v>414</v>
      </c>
      <c r="G123" t="s">
        <v>13</v>
      </c>
      <c r="H123" t="s">
        <v>116</v>
      </c>
      <c r="I123" s="2">
        <v>45642</v>
      </c>
    </row>
    <row r="124" spans="1:9" x14ac:dyDescent="0.3">
      <c r="A124" t="s">
        <v>42</v>
      </c>
      <c r="B124" t="s">
        <v>33</v>
      </c>
      <c r="C124" t="s">
        <v>415</v>
      </c>
      <c r="D124">
        <v>794</v>
      </c>
      <c r="E124" t="s">
        <v>416</v>
      </c>
      <c r="F124" t="s">
        <v>417</v>
      </c>
      <c r="G124" t="s">
        <v>13</v>
      </c>
      <c r="H124" t="s">
        <v>418</v>
      </c>
      <c r="I124" s="2">
        <v>45628</v>
      </c>
    </row>
    <row r="125" spans="1:9" x14ac:dyDescent="0.3">
      <c r="A125" t="s">
        <v>91</v>
      </c>
      <c r="B125" t="s">
        <v>91</v>
      </c>
      <c r="C125" t="s">
        <v>419</v>
      </c>
      <c r="D125">
        <v>790</v>
      </c>
      <c r="E125" t="s">
        <v>420</v>
      </c>
      <c r="F125" t="s">
        <v>113</v>
      </c>
      <c r="G125" t="s">
        <v>13</v>
      </c>
      <c r="H125" t="s">
        <v>95</v>
      </c>
      <c r="I125" s="2">
        <v>45628</v>
      </c>
    </row>
    <row r="126" spans="1:9" x14ac:dyDescent="0.3">
      <c r="A126" t="s">
        <v>91</v>
      </c>
      <c r="B126" t="s">
        <v>91</v>
      </c>
      <c r="C126" t="s">
        <v>421</v>
      </c>
      <c r="D126">
        <v>792</v>
      </c>
      <c r="E126" t="s">
        <v>422</v>
      </c>
      <c r="F126" t="s">
        <v>31</v>
      </c>
      <c r="G126" t="s">
        <v>13</v>
      </c>
      <c r="H126" t="s">
        <v>95</v>
      </c>
      <c r="I126" s="2">
        <v>45628</v>
      </c>
    </row>
    <row r="127" spans="1:9" x14ac:dyDescent="0.3">
      <c r="A127" t="s">
        <v>423</v>
      </c>
      <c r="B127" t="s">
        <v>423</v>
      </c>
      <c r="C127" t="s">
        <v>424</v>
      </c>
      <c r="D127">
        <v>795</v>
      </c>
      <c r="E127" t="s">
        <v>124</v>
      </c>
      <c r="F127" t="s">
        <v>425</v>
      </c>
      <c r="G127" t="s">
        <v>13</v>
      </c>
      <c r="H127" t="s">
        <v>426</v>
      </c>
      <c r="I127" s="2">
        <v>45628</v>
      </c>
    </row>
    <row r="128" spans="1:9" x14ac:dyDescent="0.3">
      <c r="A128" t="s">
        <v>170</v>
      </c>
      <c r="B128" t="s">
        <v>22</v>
      </c>
      <c r="C128" t="s">
        <v>427</v>
      </c>
      <c r="D128">
        <v>788</v>
      </c>
      <c r="E128" t="s">
        <v>21</v>
      </c>
      <c r="F128" t="s">
        <v>428</v>
      </c>
      <c r="G128" t="s">
        <v>13</v>
      </c>
      <c r="H128" t="s">
        <v>429</v>
      </c>
      <c r="I128" s="2">
        <v>45614</v>
      </c>
    </row>
    <row r="129" spans="1:9" x14ac:dyDescent="0.3">
      <c r="A129" t="s">
        <v>67</v>
      </c>
      <c r="B129" t="s">
        <v>22</v>
      </c>
      <c r="C129" t="s">
        <v>430</v>
      </c>
      <c r="D129">
        <v>789</v>
      </c>
      <c r="E129" t="s">
        <v>431</v>
      </c>
      <c r="F129" t="s">
        <v>41</v>
      </c>
      <c r="G129" t="s">
        <v>13</v>
      </c>
      <c r="H129" t="s">
        <v>71</v>
      </c>
      <c r="I129" s="2">
        <v>45614</v>
      </c>
    </row>
    <row r="130" spans="1:9" x14ac:dyDescent="0.3">
      <c r="A130" t="s">
        <v>91</v>
      </c>
      <c r="B130" t="s">
        <v>91</v>
      </c>
      <c r="C130" t="s">
        <v>432</v>
      </c>
      <c r="D130">
        <v>786</v>
      </c>
      <c r="E130" t="s">
        <v>433</v>
      </c>
      <c r="F130" t="s">
        <v>94</v>
      </c>
      <c r="G130" t="s">
        <v>13</v>
      </c>
      <c r="H130" t="s">
        <v>95</v>
      </c>
      <c r="I130" s="2">
        <v>45600</v>
      </c>
    </row>
    <row r="131" spans="1:9" x14ac:dyDescent="0.3">
      <c r="A131" t="s">
        <v>15</v>
      </c>
      <c r="B131" t="s">
        <v>15</v>
      </c>
      <c r="C131" t="s">
        <v>434</v>
      </c>
      <c r="D131" s="3" t="s">
        <v>435</v>
      </c>
      <c r="E131" t="s">
        <v>436</v>
      </c>
      <c r="F131" t="s">
        <v>437</v>
      </c>
      <c r="G131" t="s">
        <v>13</v>
      </c>
      <c r="H131" t="s">
        <v>20</v>
      </c>
      <c r="I131" s="2">
        <v>45600</v>
      </c>
    </row>
    <row r="132" spans="1:9" x14ac:dyDescent="0.3">
      <c r="A132" t="s">
        <v>282</v>
      </c>
      <c r="B132" t="s">
        <v>84</v>
      </c>
      <c r="C132" t="s">
        <v>438</v>
      </c>
      <c r="D132">
        <v>784</v>
      </c>
      <c r="E132" t="s">
        <v>439</v>
      </c>
      <c r="F132" t="s">
        <v>440</v>
      </c>
      <c r="G132" t="s">
        <v>13</v>
      </c>
      <c r="H132" t="s">
        <v>286</v>
      </c>
      <c r="I132" s="2">
        <v>45600</v>
      </c>
    </row>
    <row r="133" spans="1:9" x14ac:dyDescent="0.3">
      <c r="A133" t="s">
        <v>282</v>
      </c>
      <c r="B133" t="s">
        <v>84</v>
      </c>
      <c r="C133" t="s">
        <v>441</v>
      </c>
      <c r="D133">
        <v>783</v>
      </c>
      <c r="E133" t="s">
        <v>442</v>
      </c>
      <c r="F133" t="s">
        <v>285</v>
      </c>
      <c r="G133" t="s">
        <v>13</v>
      </c>
      <c r="H133" t="s">
        <v>286</v>
      </c>
      <c r="I133" s="2">
        <v>45600</v>
      </c>
    </row>
    <row r="134" spans="1:9" x14ac:dyDescent="0.3">
      <c r="A134" t="s">
        <v>443</v>
      </c>
      <c r="B134" t="s">
        <v>306</v>
      </c>
      <c r="C134" t="s">
        <v>444</v>
      </c>
      <c r="D134">
        <v>785</v>
      </c>
      <c r="E134" t="s">
        <v>190</v>
      </c>
      <c r="F134" t="s">
        <v>445</v>
      </c>
      <c r="G134" t="s">
        <v>13</v>
      </c>
      <c r="H134" t="s">
        <v>446</v>
      </c>
      <c r="I134" s="2">
        <v>45600</v>
      </c>
    </row>
    <row r="135" spans="1:9" x14ac:dyDescent="0.3">
      <c r="A135" t="s">
        <v>259</v>
      </c>
      <c r="B135" t="s">
        <v>259</v>
      </c>
      <c r="C135" t="s">
        <v>447</v>
      </c>
      <c r="D135">
        <v>779</v>
      </c>
      <c r="E135" t="s">
        <v>448</v>
      </c>
      <c r="F135" t="s">
        <v>281</v>
      </c>
      <c r="G135" t="s">
        <v>13</v>
      </c>
      <c r="H135" t="s">
        <v>293</v>
      </c>
      <c r="I135" s="2">
        <v>45586</v>
      </c>
    </row>
    <row r="136" spans="1:9" x14ac:dyDescent="0.3">
      <c r="A136" t="s">
        <v>126</v>
      </c>
      <c r="B136" t="s">
        <v>126</v>
      </c>
      <c r="C136" t="s">
        <v>449</v>
      </c>
      <c r="D136">
        <v>778</v>
      </c>
      <c r="E136" t="s">
        <v>450</v>
      </c>
      <c r="F136" t="s">
        <v>451</v>
      </c>
      <c r="G136" t="s">
        <v>13</v>
      </c>
      <c r="H136" t="s">
        <v>235</v>
      </c>
      <c r="I136" s="2">
        <v>45580</v>
      </c>
    </row>
    <row r="137" spans="1:9" x14ac:dyDescent="0.3">
      <c r="A137" t="s">
        <v>21</v>
      </c>
      <c r="B137" t="s">
        <v>22</v>
      </c>
      <c r="C137" t="s">
        <v>452</v>
      </c>
      <c r="D137">
        <v>773</v>
      </c>
      <c r="E137" t="s">
        <v>453</v>
      </c>
      <c r="F137" t="s">
        <v>25</v>
      </c>
      <c r="G137" t="s">
        <v>13</v>
      </c>
      <c r="H137" t="s">
        <v>26</v>
      </c>
      <c r="I137" s="2">
        <v>45566</v>
      </c>
    </row>
    <row r="138" spans="1:9" x14ac:dyDescent="0.3">
      <c r="A138" t="s">
        <v>91</v>
      </c>
      <c r="B138" t="s">
        <v>91</v>
      </c>
      <c r="C138" t="s">
        <v>454</v>
      </c>
      <c r="D138">
        <v>770</v>
      </c>
      <c r="E138" t="s">
        <v>455</v>
      </c>
      <c r="F138" t="s">
        <v>94</v>
      </c>
      <c r="G138" t="s">
        <v>13</v>
      </c>
      <c r="H138" t="s">
        <v>95</v>
      </c>
      <c r="I138" s="2">
        <v>45566</v>
      </c>
    </row>
    <row r="139" spans="1:9" x14ac:dyDescent="0.3">
      <c r="A139" t="s">
        <v>145</v>
      </c>
      <c r="B139" t="s">
        <v>145</v>
      </c>
      <c r="C139" t="s">
        <v>456</v>
      </c>
      <c r="D139">
        <v>767</v>
      </c>
      <c r="E139" t="s">
        <v>457</v>
      </c>
      <c r="F139" t="s">
        <v>458</v>
      </c>
      <c r="G139" t="s">
        <v>13</v>
      </c>
      <c r="H139" t="s">
        <v>150</v>
      </c>
      <c r="I139" s="2">
        <v>45566</v>
      </c>
    </row>
    <row r="140" spans="1:9" x14ac:dyDescent="0.3">
      <c r="A140" t="s">
        <v>91</v>
      </c>
      <c r="B140" t="s">
        <v>91</v>
      </c>
      <c r="C140" t="s">
        <v>459</v>
      </c>
      <c r="D140">
        <v>771</v>
      </c>
      <c r="E140" t="s">
        <v>460</v>
      </c>
      <c r="F140" t="s">
        <v>31</v>
      </c>
      <c r="G140" t="s">
        <v>13</v>
      </c>
      <c r="H140" t="s">
        <v>95</v>
      </c>
      <c r="I140" s="2">
        <v>45566</v>
      </c>
    </row>
    <row r="141" spans="1:9" x14ac:dyDescent="0.3">
      <c r="A141" t="s">
        <v>245</v>
      </c>
      <c r="B141" t="s">
        <v>245</v>
      </c>
      <c r="C141" t="s">
        <v>461</v>
      </c>
      <c r="D141">
        <v>768</v>
      </c>
      <c r="E141" t="s">
        <v>462</v>
      </c>
      <c r="F141" t="s">
        <v>463</v>
      </c>
      <c r="G141" t="s">
        <v>13</v>
      </c>
      <c r="H141" t="s">
        <v>464</v>
      </c>
      <c r="I141" s="2">
        <v>45564</v>
      </c>
    </row>
    <row r="142" spans="1:9" x14ac:dyDescent="0.3">
      <c r="A142" t="s">
        <v>194</v>
      </c>
      <c r="B142" t="s">
        <v>194</v>
      </c>
      <c r="C142" t="s">
        <v>465</v>
      </c>
      <c r="D142">
        <v>766</v>
      </c>
      <c r="E142" t="s">
        <v>466</v>
      </c>
      <c r="F142" t="s">
        <v>77</v>
      </c>
      <c r="G142" t="s">
        <v>164</v>
      </c>
      <c r="H142" t="s">
        <v>99</v>
      </c>
      <c r="I142" s="2">
        <v>45551</v>
      </c>
    </row>
    <row r="143" spans="1:9" x14ac:dyDescent="0.3">
      <c r="A143" t="s">
        <v>257</v>
      </c>
      <c r="B143" t="s">
        <v>51</v>
      </c>
      <c r="C143" t="s">
        <v>467</v>
      </c>
      <c r="D143">
        <v>765</v>
      </c>
      <c r="E143" t="s">
        <v>468</v>
      </c>
      <c r="F143" t="s">
        <v>469</v>
      </c>
      <c r="G143" t="s">
        <v>13</v>
      </c>
      <c r="H143" t="s">
        <v>258</v>
      </c>
      <c r="I143" s="2">
        <v>45551</v>
      </c>
    </row>
    <row r="144" spans="1:9" x14ac:dyDescent="0.3">
      <c r="A144" t="s">
        <v>278</v>
      </c>
      <c r="B144" t="s">
        <v>278</v>
      </c>
      <c r="C144" t="s">
        <v>470</v>
      </c>
      <c r="D144">
        <v>761</v>
      </c>
      <c r="E144" t="s">
        <v>471</v>
      </c>
      <c r="F144" t="s">
        <v>211</v>
      </c>
      <c r="G144" t="s">
        <v>13</v>
      </c>
      <c r="H144" t="s">
        <v>472</v>
      </c>
      <c r="I144" s="2">
        <v>45545</v>
      </c>
    </row>
    <row r="145" spans="1:9" x14ac:dyDescent="0.3">
      <c r="A145" t="s">
        <v>245</v>
      </c>
      <c r="B145" t="s">
        <v>245</v>
      </c>
      <c r="C145" t="s">
        <v>473</v>
      </c>
      <c r="D145">
        <v>755</v>
      </c>
      <c r="E145" t="s">
        <v>474</v>
      </c>
      <c r="F145" t="s">
        <v>475</v>
      </c>
      <c r="G145" t="s">
        <v>13</v>
      </c>
      <c r="H145" t="s">
        <v>464</v>
      </c>
      <c r="I145" s="2">
        <v>45537</v>
      </c>
    </row>
    <row r="146" spans="1:9" x14ac:dyDescent="0.3">
      <c r="A146" t="s">
        <v>42</v>
      </c>
      <c r="B146" t="s">
        <v>33</v>
      </c>
      <c r="C146" t="s">
        <v>476</v>
      </c>
      <c r="D146">
        <v>749</v>
      </c>
      <c r="E146" t="s">
        <v>477</v>
      </c>
      <c r="F146" t="s">
        <v>478</v>
      </c>
      <c r="G146" t="s">
        <v>13</v>
      </c>
      <c r="H146" t="s">
        <v>479</v>
      </c>
      <c r="I146" s="2">
        <v>45520</v>
      </c>
    </row>
    <row r="147" spans="1:9" x14ac:dyDescent="0.3">
      <c r="A147" t="s">
        <v>257</v>
      </c>
      <c r="B147" t="s">
        <v>51</v>
      </c>
      <c r="C147" t="s">
        <v>480</v>
      </c>
      <c r="D147">
        <v>754</v>
      </c>
      <c r="E147" t="s">
        <v>481</v>
      </c>
      <c r="F147" t="s">
        <v>482</v>
      </c>
      <c r="G147" t="s">
        <v>13</v>
      </c>
      <c r="H147" t="s">
        <v>258</v>
      </c>
      <c r="I147" s="2">
        <v>45520</v>
      </c>
    </row>
    <row r="148" spans="1:9" x14ac:dyDescent="0.3">
      <c r="A148" t="s">
        <v>91</v>
      </c>
      <c r="B148" t="s">
        <v>91</v>
      </c>
      <c r="C148" t="s">
        <v>483</v>
      </c>
      <c r="D148">
        <v>753</v>
      </c>
      <c r="E148" t="s">
        <v>484</v>
      </c>
      <c r="F148" t="s">
        <v>113</v>
      </c>
      <c r="G148" t="s">
        <v>13</v>
      </c>
      <c r="H148" t="s">
        <v>95</v>
      </c>
      <c r="I148" s="2">
        <v>45520</v>
      </c>
    </row>
    <row r="149" spans="1:9" x14ac:dyDescent="0.3">
      <c r="A149" t="s">
        <v>197</v>
      </c>
      <c r="B149" t="s">
        <v>51</v>
      </c>
      <c r="C149" t="s">
        <v>485</v>
      </c>
      <c r="D149">
        <v>741</v>
      </c>
      <c r="E149" t="s">
        <v>486</v>
      </c>
      <c r="F149" t="s">
        <v>200</v>
      </c>
      <c r="G149" t="s">
        <v>13</v>
      </c>
      <c r="H149" t="s">
        <v>201</v>
      </c>
      <c r="I149" s="2">
        <v>45505</v>
      </c>
    </row>
    <row r="150" spans="1:9" x14ac:dyDescent="0.3">
      <c r="A150" t="s">
        <v>60</v>
      </c>
      <c r="B150" t="s">
        <v>61</v>
      </c>
      <c r="C150" t="s">
        <v>487</v>
      </c>
      <c r="D150">
        <v>742</v>
      </c>
      <c r="E150" t="s">
        <v>488</v>
      </c>
      <c r="F150" t="s">
        <v>205</v>
      </c>
      <c r="G150" t="s">
        <v>13</v>
      </c>
      <c r="H150" t="s">
        <v>66</v>
      </c>
      <c r="I150" s="2">
        <v>45505</v>
      </c>
    </row>
    <row r="151" spans="1:9" x14ac:dyDescent="0.3">
      <c r="A151" t="s">
        <v>161</v>
      </c>
      <c r="B151" t="s">
        <v>161</v>
      </c>
      <c r="C151" t="s">
        <v>489</v>
      </c>
      <c r="D151">
        <v>735</v>
      </c>
      <c r="E151" t="s">
        <v>490</v>
      </c>
      <c r="F151" t="s">
        <v>12</v>
      </c>
      <c r="G151" t="s">
        <v>13</v>
      </c>
      <c r="H151" t="s">
        <v>165</v>
      </c>
      <c r="I151" s="2">
        <v>45488</v>
      </c>
    </row>
    <row r="152" spans="1:9" x14ac:dyDescent="0.3">
      <c r="A152" t="s">
        <v>332</v>
      </c>
      <c r="B152" t="s">
        <v>332</v>
      </c>
      <c r="C152" t="s">
        <v>491</v>
      </c>
      <c r="D152" s="3" t="s">
        <v>492</v>
      </c>
      <c r="E152" t="s">
        <v>493</v>
      </c>
      <c r="F152" t="s">
        <v>494</v>
      </c>
      <c r="G152" t="s">
        <v>337</v>
      </c>
      <c r="H152" t="s">
        <v>338</v>
      </c>
      <c r="I152" s="2">
        <v>45481</v>
      </c>
    </row>
    <row r="153" spans="1:9" x14ac:dyDescent="0.3">
      <c r="A153" t="s">
        <v>245</v>
      </c>
      <c r="B153" t="s">
        <v>245</v>
      </c>
      <c r="C153" t="s">
        <v>495</v>
      </c>
      <c r="D153">
        <v>732</v>
      </c>
      <c r="E153" t="s">
        <v>496</v>
      </c>
      <c r="F153" t="s">
        <v>475</v>
      </c>
      <c r="G153" t="s">
        <v>13</v>
      </c>
      <c r="H153" t="s">
        <v>464</v>
      </c>
      <c r="I153" s="2">
        <v>45474</v>
      </c>
    </row>
    <row r="154" spans="1:9" x14ac:dyDescent="0.3">
      <c r="A154" t="s">
        <v>497</v>
      </c>
      <c r="B154" t="s">
        <v>28</v>
      </c>
      <c r="C154" t="s">
        <v>498</v>
      </c>
      <c r="D154">
        <v>734</v>
      </c>
      <c r="E154" t="s">
        <v>499</v>
      </c>
      <c r="F154" t="s">
        <v>94</v>
      </c>
      <c r="G154" t="s">
        <v>13</v>
      </c>
      <c r="H154" t="s">
        <v>500</v>
      </c>
      <c r="I154" s="2">
        <v>45474</v>
      </c>
    </row>
    <row r="155" spans="1:9" x14ac:dyDescent="0.3">
      <c r="A155" t="s">
        <v>91</v>
      </c>
      <c r="B155" t="s">
        <v>91</v>
      </c>
      <c r="C155" t="s">
        <v>501</v>
      </c>
      <c r="D155">
        <v>720</v>
      </c>
      <c r="E155" t="s">
        <v>502</v>
      </c>
      <c r="F155" t="s">
        <v>94</v>
      </c>
      <c r="G155" t="s">
        <v>13</v>
      </c>
      <c r="H155" t="s">
        <v>95</v>
      </c>
      <c r="I155" s="2">
        <v>45460</v>
      </c>
    </row>
    <row r="156" spans="1:9" x14ac:dyDescent="0.3">
      <c r="A156" t="s">
        <v>242</v>
      </c>
      <c r="B156" t="s">
        <v>51</v>
      </c>
      <c r="C156" t="s">
        <v>503</v>
      </c>
      <c r="D156">
        <v>725</v>
      </c>
      <c r="E156" t="s">
        <v>257</v>
      </c>
      <c r="F156" t="s">
        <v>504</v>
      </c>
      <c r="G156" t="s">
        <v>13</v>
      </c>
      <c r="H156" t="s">
        <v>247</v>
      </c>
      <c r="I156" s="2">
        <v>45460</v>
      </c>
    </row>
    <row r="157" spans="1:9" x14ac:dyDescent="0.3">
      <c r="A157" t="s">
        <v>194</v>
      </c>
      <c r="B157" t="s">
        <v>194</v>
      </c>
      <c r="C157" t="s">
        <v>505</v>
      </c>
      <c r="D157">
        <v>726</v>
      </c>
      <c r="E157" t="s">
        <v>506</v>
      </c>
      <c r="F157" t="s">
        <v>77</v>
      </c>
      <c r="G157" t="s">
        <v>164</v>
      </c>
      <c r="H157" t="s">
        <v>99</v>
      </c>
      <c r="I157" s="2">
        <v>45460</v>
      </c>
    </row>
    <row r="158" spans="1:9" x14ac:dyDescent="0.3">
      <c r="A158" t="s">
        <v>278</v>
      </c>
      <c r="B158" t="s">
        <v>278</v>
      </c>
      <c r="C158" t="s">
        <v>507</v>
      </c>
      <c r="D158">
        <v>716</v>
      </c>
      <c r="E158" t="s">
        <v>508</v>
      </c>
      <c r="F158" t="s">
        <v>211</v>
      </c>
      <c r="G158" t="s">
        <v>13</v>
      </c>
      <c r="H158" t="s">
        <v>472</v>
      </c>
      <c r="I158" s="2">
        <v>45453</v>
      </c>
    </row>
    <row r="159" spans="1:9" x14ac:dyDescent="0.3">
      <c r="A159" t="s">
        <v>91</v>
      </c>
      <c r="B159" t="s">
        <v>91</v>
      </c>
      <c r="C159" t="s">
        <v>509</v>
      </c>
      <c r="D159">
        <v>711</v>
      </c>
      <c r="E159" t="s">
        <v>510</v>
      </c>
      <c r="F159" t="s">
        <v>113</v>
      </c>
      <c r="G159" t="s">
        <v>13</v>
      </c>
      <c r="H159" t="s">
        <v>95</v>
      </c>
      <c r="I159" s="2">
        <v>45446</v>
      </c>
    </row>
    <row r="160" spans="1:9" x14ac:dyDescent="0.3">
      <c r="A160" t="s">
        <v>67</v>
      </c>
      <c r="B160" t="s">
        <v>22</v>
      </c>
      <c r="C160" t="s">
        <v>511</v>
      </c>
      <c r="D160">
        <v>713</v>
      </c>
      <c r="E160" t="s">
        <v>512</v>
      </c>
      <c r="F160" t="s">
        <v>513</v>
      </c>
      <c r="G160" t="s">
        <v>13</v>
      </c>
      <c r="H160" t="s">
        <v>71</v>
      </c>
      <c r="I160" s="2">
        <v>45446</v>
      </c>
    </row>
    <row r="161" spans="1:9" x14ac:dyDescent="0.3">
      <c r="A161" t="s">
        <v>197</v>
      </c>
      <c r="B161" t="s">
        <v>51</v>
      </c>
      <c r="C161" t="s">
        <v>514</v>
      </c>
      <c r="D161">
        <v>712</v>
      </c>
      <c r="E161" t="s">
        <v>515</v>
      </c>
      <c r="F161" t="s">
        <v>200</v>
      </c>
      <c r="G161" t="s">
        <v>13</v>
      </c>
      <c r="H161" t="s">
        <v>201</v>
      </c>
      <c r="I161" s="2">
        <v>45446</v>
      </c>
    </row>
    <row r="162" spans="1:9" x14ac:dyDescent="0.3">
      <c r="A162" t="s">
        <v>72</v>
      </c>
      <c r="B162" t="s">
        <v>72</v>
      </c>
      <c r="C162" t="s">
        <v>516</v>
      </c>
      <c r="D162">
        <v>706</v>
      </c>
      <c r="E162" t="s">
        <v>517</v>
      </c>
      <c r="F162" t="s">
        <v>518</v>
      </c>
      <c r="G162" t="s">
        <v>13</v>
      </c>
      <c r="H162" t="s">
        <v>73</v>
      </c>
      <c r="I162" s="2">
        <v>45446</v>
      </c>
    </row>
    <row r="163" spans="1:9" x14ac:dyDescent="0.3">
      <c r="A163" t="s">
        <v>67</v>
      </c>
      <c r="B163" t="s">
        <v>22</v>
      </c>
      <c r="C163" t="s">
        <v>519</v>
      </c>
      <c r="D163">
        <v>703</v>
      </c>
      <c r="E163" t="s">
        <v>520</v>
      </c>
      <c r="F163" t="s">
        <v>70</v>
      </c>
      <c r="G163" t="s">
        <v>13</v>
      </c>
      <c r="H163" t="s">
        <v>71</v>
      </c>
      <c r="I163" s="2">
        <v>45439</v>
      </c>
    </row>
    <row r="164" spans="1:9" x14ac:dyDescent="0.3">
      <c r="A164" t="s">
        <v>60</v>
      </c>
      <c r="B164" t="s">
        <v>61</v>
      </c>
      <c r="C164" t="s">
        <v>521</v>
      </c>
      <c r="D164">
        <v>680</v>
      </c>
      <c r="E164" t="s">
        <v>522</v>
      </c>
      <c r="F164" t="s">
        <v>205</v>
      </c>
      <c r="G164" t="s">
        <v>13</v>
      </c>
      <c r="H164" t="s">
        <v>66</v>
      </c>
      <c r="I164" s="2">
        <v>45414</v>
      </c>
    </row>
    <row r="165" spans="1:9" x14ac:dyDescent="0.3">
      <c r="A165" t="s">
        <v>139</v>
      </c>
      <c r="B165" t="s">
        <v>139</v>
      </c>
      <c r="C165" t="s">
        <v>523</v>
      </c>
      <c r="D165" s="3" t="s">
        <v>524</v>
      </c>
      <c r="E165" t="s">
        <v>525</v>
      </c>
      <c r="F165" t="s">
        <v>526</v>
      </c>
      <c r="G165" t="s">
        <v>143</v>
      </c>
      <c r="H165" t="s">
        <v>144</v>
      </c>
      <c r="I165" s="2">
        <v>45390</v>
      </c>
    </row>
    <row r="166" spans="1:9" x14ac:dyDescent="0.3">
      <c r="A166" t="s">
        <v>166</v>
      </c>
      <c r="B166" t="s">
        <v>166</v>
      </c>
      <c r="C166" t="s">
        <v>527</v>
      </c>
      <c r="D166" s="3" t="s">
        <v>528</v>
      </c>
      <c r="E166" t="s">
        <v>529</v>
      </c>
      <c r="F166" t="s">
        <v>31</v>
      </c>
      <c r="G166" t="s">
        <v>13</v>
      </c>
      <c r="H166" t="s">
        <v>45</v>
      </c>
      <c r="I166" s="2">
        <v>45386</v>
      </c>
    </row>
    <row r="167" spans="1:9" x14ac:dyDescent="0.3">
      <c r="A167" t="s">
        <v>15</v>
      </c>
      <c r="B167" t="s">
        <v>15</v>
      </c>
      <c r="C167" t="s">
        <v>530</v>
      </c>
      <c r="D167" s="3" t="s">
        <v>531</v>
      </c>
      <c r="E167" t="s">
        <v>532</v>
      </c>
      <c r="F167" t="s">
        <v>252</v>
      </c>
      <c r="G167" t="s">
        <v>19</v>
      </c>
      <c r="H167" t="s">
        <v>20</v>
      </c>
      <c r="I167" s="2">
        <v>45383</v>
      </c>
    </row>
    <row r="168" spans="1:9" x14ac:dyDescent="0.3">
      <c r="A168" t="s">
        <v>166</v>
      </c>
      <c r="B168" t="s">
        <v>166</v>
      </c>
      <c r="C168" t="s">
        <v>533</v>
      </c>
      <c r="D168">
        <v>690</v>
      </c>
      <c r="E168" t="s">
        <v>534</v>
      </c>
      <c r="F168" t="s">
        <v>94</v>
      </c>
      <c r="G168" t="s">
        <v>13</v>
      </c>
      <c r="H168" t="s">
        <v>45</v>
      </c>
      <c r="I168" s="2">
        <v>45366</v>
      </c>
    </row>
    <row r="169" spans="1:9" x14ac:dyDescent="0.3">
      <c r="A169" t="s">
        <v>91</v>
      </c>
      <c r="B169" t="s">
        <v>91</v>
      </c>
      <c r="C169" t="s">
        <v>535</v>
      </c>
      <c r="D169">
        <v>687</v>
      </c>
      <c r="E169" t="s">
        <v>536</v>
      </c>
      <c r="F169" t="s">
        <v>31</v>
      </c>
      <c r="G169" t="s">
        <v>13</v>
      </c>
      <c r="H169" t="s">
        <v>95</v>
      </c>
      <c r="I169" s="2">
        <v>45357</v>
      </c>
    </row>
    <row r="170" spans="1:9" x14ac:dyDescent="0.3">
      <c r="A170" t="s">
        <v>135</v>
      </c>
      <c r="B170" t="s">
        <v>135</v>
      </c>
      <c r="C170" t="s">
        <v>537</v>
      </c>
      <c r="D170">
        <v>686</v>
      </c>
      <c r="E170" t="s">
        <v>156</v>
      </c>
      <c r="F170" t="s">
        <v>428</v>
      </c>
      <c r="G170" t="s">
        <v>13</v>
      </c>
      <c r="H170" t="s">
        <v>538</v>
      </c>
      <c r="I170" s="2">
        <v>45357</v>
      </c>
    </row>
    <row r="171" spans="1:9" x14ac:dyDescent="0.3">
      <c r="A171" t="s">
        <v>170</v>
      </c>
      <c r="B171" t="s">
        <v>22</v>
      </c>
      <c r="C171" t="s">
        <v>539</v>
      </c>
      <c r="D171">
        <v>684</v>
      </c>
      <c r="E171" t="s">
        <v>67</v>
      </c>
      <c r="F171" t="s">
        <v>428</v>
      </c>
      <c r="G171" t="s">
        <v>13</v>
      </c>
      <c r="H171" t="s">
        <v>429</v>
      </c>
      <c r="I171" s="2">
        <v>45355</v>
      </c>
    </row>
    <row r="172" spans="1:9" x14ac:dyDescent="0.3">
      <c r="A172" t="s">
        <v>207</v>
      </c>
      <c r="B172" t="s">
        <v>207</v>
      </c>
      <c r="C172" t="s">
        <v>540</v>
      </c>
      <c r="D172">
        <v>676</v>
      </c>
      <c r="E172" t="s">
        <v>541</v>
      </c>
      <c r="F172" t="s">
        <v>211</v>
      </c>
      <c r="G172" t="s">
        <v>13</v>
      </c>
      <c r="H172" t="s">
        <v>212</v>
      </c>
      <c r="I172" s="2">
        <v>45337</v>
      </c>
    </row>
    <row r="173" spans="1:9" s="12" customFormat="1" x14ac:dyDescent="0.3">
      <c r="A173" s="12" t="s">
        <v>72</v>
      </c>
      <c r="B173" s="14" t="s">
        <v>805</v>
      </c>
      <c r="C173" t="s">
        <v>542</v>
      </c>
      <c r="D173">
        <v>672</v>
      </c>
      <c r="E173" s="12" t="s">
        <v>543</v>
      </c>
      <c r="F173" s="12" t="s">
        <v>518</v>
      </c>
      <c r="G173" s="12" t="s">
        <v>13</v>
      </c>
      <c r="H173" s="12" t="s">
        <v>73</v>
      </c>
      <c r="I173" s="13">
        <v>45323</v>
      </c>
    </row>
    <row r="174" spans="1:9" x14ac:dyDescent="0.3">
      <c r="A174" t="s">
        <v>42</v>
      </c>
      <c r="B174" t="s">
        <v>33</v>
      </c>
      <c r="C174" t="s">
        <v>544</v>
      </c>
      <c r="D174">
        <v>673</v>
      </c>
      <c r="E174" t="s">
        <v>545</v>
      </c>
      <c r="F174" t="s">
        <v>546</v>
      </c>
      <c r="G174" t="s">
        <v>13</v>
      </c>
      <c r="H174" t="s">
        <v>479</v>
      </c>
      <c r="I174" s="2">
        <v>45323</v>
      </c>
    </row>
    <row r="175" spans="1:9" x14ac:dyDescent="0.3">
      <c r="A175" t="s">
        <v>74</v>
      </c>
      <c r="B175" t="s">
        <v>74</v>
      </c>
      <c r="C175" t="s">
        <v>547</v>
      </c>
      <c r="D175">
        <v>670</v>
      </c>
      <c r="E175" t="s">
        <v>548</v>
      </c>
      <c r="F175" t="s">
        <v>12</v>
      </c>
      <c r="G175" t="s">
        <v>13</v>
      </c>
      <c r="H175" t="s">
        <v>78</v>
      </c>
      <c r="I175" s="2">
        <v>45313</v>
      </c>
    </row>
    <row r="176" spans="1:9" x14ac:dyDescent="0.3">
      <c r="A176" t="s">
        <v>305</v>
      </c>
      <c r="B176" t="s">
        <v>306</v>
      </c>
      <c r="C176" t="s">
        <v>549</v>
      </c>
      <c r="D176">
        <v>663</v>
      </c>
      <c r="E176" t="s">
        <v>242</v>
      </c>
      <c r="F176" t="s">
        <v>550</v>
      </c>
      <c r="G176" t="s">
        <v>13</v>
      </c>
      <c r="H176" t="s">
        <v>551</v>
      </c>
      <c r="I176" s="2">
        <v>45306</v>
      </c>
    </row>
    <row r="177" spans="1:9" x14ac:dyDescent="0.3">
      <c r="A177" t="s">
        <v>139</v>
      </c>
      <c r="B177" t="s">
        <v>139</v>
      </c>
      <c r="C177" t="s">
        <v>552</v>
      </c>
      <c r="D177">
        <v>662</v>
      </c>
      <c r="E177" t="s">
        <v>553</v>
      </c>
      <c r="F177" t="s">
        <v>142</v>
      </c>
      <c r="G177" t="s">
        <v>143</v>
      </c>
      <c r="H177" t="s">
        <v>144</v>
      </c>
      <c r="I177" s="2">
        <v>45306</v>
      </c>
    </row>
    <row r="178" spans="1:9" x14ac:dyDescent="0.3">
      <c r="A178" t="s">
        <v>161</v>
      </c>
      <c r="B178" t="s">
        <v>161</v>
      </c>
      <c r="C178" t="s">
        <v>554</v>
      </c>
      <c r="D178">
        <v>655</v>
      </c>
      <c r="E178" t="s">
        <v>555</v>
      </c>
      <c r="F178" t="s">
        <v>12</v>
      </c>
      <c r="G178" t="s">
        <v>13</v>
      </c>
      <c r="H178" t="s">
        <v>165</v>
      </c>
      <c r="I178" s="2">
        <v>45275</v>
      </c>
    </row>
    <row r="179" spans="1:9" x14ac:dyDescent="0.3">
      <c r="A179" t="s">
        <v>50</v>
      </c>
      <c r="B179" t="s">
        <v>51</v>
      </c>
      <c r="C179" t="s">
        <v>556</v>
      </c>
      <c r="D179">
        <v>654</v>
      </c>
      <c r="E179" t="s">
        <v>557</v>
      </c>
      <c r="F179" t="s">
        <v>55</v>
      </c>
      <c r="G179" t="s">
        <v>13</v>
      </c>
      <c r="H179" t="s">
        <v>56</v>
      </c>
      <c r="I179" s="2">
        <v>45275</v>
      </c>
    </row>
    <row r="180" spans="1:9" x14ac:dyDescent="0.3">
      <c r="A180" t="s">
        <v>117</v>
      </c>
      <c r="B180" t="s">
        <v>28</v>
      </c>
      <c r="C180" t="s">
        <v>558</v>
      </c>
      <c r="D180">
        <v>658</v>
      </c>
      <c r="E180" t="s">
        <v>559</v>
      </c>
      <c r="F180" t="s">
        <v>31</v>
      </c>
      <c r="G180" t="s">
        <v>13</v>
      </c>
      <c r="H180" t="s">
        <v>120</v>
      </c>
      <c r="I180" s="2">
        <v>45275</v>
      </c>
    </row>
    <row r="181" spans="1:9" x14ac:dyDescent="0.3">
      <c r="A181" t="s">
        <v>497</v>
      </c>
      <c r="B181" t="s">
        <v>28</v>
      </c>
      <c r="C181" t="s">
        <v>560</v>
      </c>
      <c r="D181">
        <v>656</v>
      </c>
      <c r="E181" t="s">
        <v>561</v>
      </c>
      <c r="F181" t="s">
        <v>94</v>
      </c>
      <c r="G181" t="s">
        <v>13</v>
      </c>
      <c r="H181" t="s">
        <v>500</v>
      </c>
      <c r="I181" s="2">
        <v>45275</v>
      </c>
    </row>
    <row r="182" spans="1:9" x14ac:dyDescent="0.3">
      <c r="A182" t="s">
        <v>15</v>
      </c>
      <c r="B182" t="s">
        <v>15</v>
      </c>
      <c r="C182" t="s">
        <v>562</v>
      </c>
      <c r="D182" s="3" t="s">
        <v>563</v>
      </c>
      <c r="E182" t="s">
        <v>564</v>
      </c>
      <c r="F182" t="s">
        <v>123</v>
      </c>
      <c r="G182" t="s">
        <v>19</v>
      </c>
      <c r="H182" t="s">
        <v>20</v>
      </c>
      <c r="I182" s="2">
        <v>45244</v>
      </c>
    </row>
    <row r="183" spans="1:9" x14ac:dyDescent="0.3">
      <c r="A183" t="s">
        <v>185</v>
      </c>
      <c r="B183" t="s">
        <v>185</v>
      </c>
      <c r="C183" t="s">
        <v>565</v>
      </c>
      <c r="D183">
        <v>647</v>
      </c>
      <c r="E183" t="s">
        <v>566</v>
      </c>
      <c r="F183" t="s">
        <v>77</v>
      </c>
      <c r="G183" t="s">
        <v>164</v>
      </c>
      <c r="H183" t="s">
        <v>188</v>
      </c>
      <c r="I183" s="2">
        <v>45233</v>
      </c>
    </row>
    <row r="184" spans="1:9" x14ac:dyDescent="0.3">
      <c r="A184" t="s">
        <v>161</v>
      </c>
      <c r="B184" t="s">
        <v>161</v>
      </c>
      <c r="C184" t="s">
        <v>569</v>
      </c>
      <c r="D184">
        <v>643</v>
      </c>
      <c r="E184" t="s">
        <v>570</v>
      </c>
      <c r="F184" t="s">
        <v>12</v>
      </c>
      <c r="G184" t="s">
        <v>13</v>
      </c>
      <c r="H184" t="s">
        <v>165</v>
      </c>
      <c r="I184" s="2">
        <v>45215</v>
      </c>
    </row>
    <row r="185" spans="1:9" x14ac:dyDescent="0.3">
      <c r="A185" t="s">
        <v>571</v>
      </c>
      <c r="B185" t="s">
        <v>135</v>
      </c>
      <c r="C185" t="s">
        <v>572</v>
      </c>
      <c r="D185">
        <v>637</v>
      </c>
      <c r="E185" t="s">
        <v>573</v>
      </c>
      <c r="F185" t="s">
        <v>159</v>
      </c>
      <c r="G185" t="s">
        <v>13</v>
      </c>
      <c r="H185" t="s">
        <v>574</v>
      </c>
      <c r="I185" s="2">
        <v>45201</v>
      </c>
    </row>
    <row r="186" spans="1:9" x14ac:dyDescent="0.3">
      <c r="A186" t="s">
        <v>571</v>
      </c>
      <c r="B186" t="s">
        <v>135</v>
      </c>
      <c r="C186" t="s">
        <v>575</v>
      </c>
      <c r="D186">
        <v>634</v>
      </c>
      <c r="E186" t="s">
        <v>576</v>
      </c>
      <c r="F186" t="s">
        <v>173</v>
      </c>
      <c r="G186" t="s">
        <v>13</v>
      </c>
      <c r="H186" t="s">
        <v>574</v>
      </c>
      <c r="I186" s="2">
        <v>45194</v>
      </c>
    </row>
    <row r="187" spans="1:9" x14ac:dyDescent="0.3">
      <c r="A187" t="s">
        <v>166</v>
      </c>
      <c r="B187" t="s">
        <v>166</v>
      </c>
      <c r="C187" t="s">
        <v>577</v>
      </c>
      <c r="D187" s="3" t="s">
        <v>578</v>
      </c>
      <c r="E187" t="s">
        <v>579</v>
      </c>
      <c r="F187" t="s">
        <v>177</v>
      </c>
      <c r="G187" t="s">
        <v>13</v>
      </c>
      <c r="H187" t="s">
        <v>45</v>
      </c>
      <c r="I187" s="2">
        <v>45170</v>
      </c>
    </row>
    <row r="188" spans="1:9" x14ac:dyDescent="0.3">
      <c r="A188" t="s">
        <v>197</v>
      </c>
      <c r="B188" t="s">
        <v>51</v>
      </c>
      <c r="C188" t="s">
        <v>580</v>
      </c>
      <c r="D188">
        <v>630</v>
      </c>
      <c r="E188" t="s">
        <v>581</v>
      </c>
      <c r="F188" t="s">
        <v>200</v>
      </c>
      <c r="G188" t="s">
        <v>13</v>
      </c>
      <c r="H188" t="s">
        <v>201</v>
      </c>
      <c r="I188" s="2">
        <v>45170</v>
      </c>
    </row>
    <row r="189" spans="1:9" x14ac:dyDescent="0.3">
      <c r="A189" t="s">
        <v>197</v>
      </c>
      <c r="B189" t="s">
        <v>51</v>
      </c>
      <c r="C189" t="s">
        <v>582</v>
      </c>
      <c r="D189">
        <v>632</v>
      </c>
      <c r="E189" t="s">
        <v>583</v>
      </c>
      <c r="F189" t="s">
        <v>200</v>
      </c>
      <c r="G189" t="s">
        <v>13</v>
      </c>
      <c r="H189" t="s">
        <v>201</v>
      </c>
      <c r="I189" s="2">
        <v>45170</v>
      </c>
    </row>
    <row r="190" spans="1:9" x14ac:dyDescent="0.3">
      <c r="A190" t="s">
        <v>91</v>
      </c>
      <c r="B190" t="s">
        <v>91</v>
      </c>
      <c r="C190" t="s">
        <v>584</v>
      </c>
      <c r="D190">
        <v>623</v>
      </c>
      <c r="E190" t="s">
        <v>585</v>
      </c>
      <c r="F190" t="s">
        <v>31</v>
      </c>
      <c r="G190" t="s">
        <v>13</v>
      </c>
      <c r="H190" t="s">
        <v>95</v>
      </c>
      <c r="I190" s="2">
        <v>45154</v>
      </c>
    </row>
    <row r="191" spans="1:9" x14ac:dyDescent="0.3">
      <c r="A191" t="s">
        <v>117</v>
      </c>
      <c r="B191" t="s">
        <v>28</v>
      </c>
      <c r="C191" t="s">
        <v>586</v>
      </c>
      <c r="D191">
        <v>626</v>
      </c>
      <c r="E191" t="s">
        <v>587</v>
      </c>
      <c r="F191" t="s">
        <v>94</v>
      </c>
      <c r="G191" t="s">
        <v>13</v>
      </c>
      <c r="H191" t="s">
        <v>120</v>
      </c>
      <c r="I191" s="2">
        <v>45154</v>
      </c>
    </row>
    <row r="192" spans="1:9" x14ac:dyDescent="0.3">
      <c r="A192" t="s">
        <v>166</v>
      </c>
      <c r="B192" t="s">
        <v>166</v>
      </c>
      <c r="C192" t="s">
        <v>588</v>
      </c>
      <c r="D192" s="3" t="s">
        <v>589</v>
      </c>
      <c r="E192" t="s">
        <v>590</v>
      </c>
      <c r="F192" t="s">
        <v>177</v>
      </c>
      <c r="G192" t="s">
        <v>13</v>
      </c>
      <c r="H192" t="s">
        <v>45</v>
      </c>
      <c r="I192" s="2">
        <v>45152</v>
      </c>
    </row>
    <row r="193" spans="1:9" x14ac:dyDescent="0.3">
      <c r="A193" t="s">
        <v>207</v>
      </c>
      <c r="B193" t="s">
        <v>207</v>
      </c>
      <c r="C193" t="s">
        <v>591</v>
      </c>
      <c r="D193">
        <v>649</v>
      </c>
      <c r="E193" t="s">
        <v>592</v>
      </c>
      <c r="F193" t="s">
        <v>205</v>
      </c>
      <c r="G193" t="s">
        <v>13</v>
      </c>
      <c r="H193" t="s">
        <v>212</v>
      </c>
      <c r="I193" s="2">
        <v>45117</v>
      </c>
    </row>
    <row r="194" spans="1:9" x14ac:dyDescent="0.3">
      <c r="A194" t="s">
        <v>319</v>
      </c>
      <c r="B194" t="s">
        <v>306</v>
      </c>
      <c r="C194" t="s">
        <v>593</v>
      </c>
      <c r="D194">
        <v>619</v>
      </c>
      <c r="E194" t="s">
        <v>170</v>
      </c>
      <c r="F194" t="s">
        <v>411</v>
      </c>
      <c r="G194" t="s">
        <v>13</v>
      </c>
      <c r="H194" t="s">
        <v>321</v>
      </c>
      <c r="I194" s="2">
        <v>45110</v>
      </c>
    </row>
    <row r="195" spans="1:9" x14ac:dyDescent="0.3">
      <c r="A195" t="s">
        <v>11</v>
      </c>
      <c r="B195" t="s">
        <v>33</v>
      </c>
      <c r="C195" t="s">
        <v>594</v>
      </c>
      <c r="D195">
        <v>615</v>
      </c>
      <c r="E195" t="s">
        <v>595</v>
      </c>
      <c r="F195" t="s">
        <v>596</v>
      </c>
      <c r="G195" t="s">
        <v>13</v>
      </c>
      <c r="H195" t="s">
        <v>418</v>
      </c>
      <c r="I195" s="2">
        <v>45089</v>
      </c>
    </row>
    <row r="196" spans="1:9" x14ac:dyDescent="0.3">
      <c r="A196" t="s">
        <v>357</v>
      </c>
      <c r="B196" t="s">
        <v>357</v>
      </c>
      <c r="C196" t="s">
        <v>597</v>
      </c>
      <c r="D196">
        <v>611</v>
      </c>
      <c r="E196" t="s">
        <v>598</v>
      </c>
      <c r="F196" t="s">
        <v>77</v>
      </c>
      <c r="G196" t="s">
        <v>164</v>
      </c>
      <c r="H196" t="s">
        <v>14</v>
      </c>
      <c r="I196" s="2">
        <v>45082</v>
      </c>
    </row>
    <row r="197" spans="1:9" x14ac:dyDescent="0.3">
      <c r="A197" t="s">
        <v>8</v>
      </c>
      <c r="B197" t="s">
        <v>8</v>
      </c>
      <c r="C197" t="s">
        <v>599</v>
      </c>
      <c r="D197">
        <v>610</v>
      </c>
      <c r="E197" t="s">
        <v>357</v>
      </c>
      <c r="F197" t="s">
        <v>387</v>
      </c>
      <c r="G197" t="s">
        <v>164</v>
      </c>
      <c r="H197" t="s">
        <v>14</v>
      </c>
      <c r="I197" s="2">
        <v>45082</v>
      </c>
    </row>
    <row r="198" spans="1:9" x14ac:dyDescent="0.3">
      <c r="A198" t="s">
        <v>46</v>
      </c>
      <c r="B198" t="s">
        <v>28</v>
      </c>
      <c r="C198" t="s">
        <v>600</v>
      </c>
      <c r="D198">
        <v>606</v>
      </c>
      <c r="E198" t="s">
        <v>117</v>
      </c>
      <c r="F198" t="s">
        <v>345</v>
      </c>
      <c r="G198" t="s">
        <v>13</v>
      </c>
      <c r="H198" t="s">
        <v>601</v>
      </c>
      <c r="I198" s="2">
        <v>45068</v>
      </c>
    </row>
    <row r="199" spans="1:9" x14ac:dyDescent="0.3">
      <c r="A199" t="s">
        <v>145</v>
      </c>
      <c r="B199" t="s">
        <v>145</v>
      </c>
      <c r="C199" t="s">
        <v>602</v>
      </c>
      <c r="D199">
        <v>605</v>
      </c>
      <c r="E199" t="s">
        <v>603</v>
      </c>
      <c r="F199" t="s">
        <v>149</v>
      </c>
      <c r="G199" t="s">
        <v>13</v>
      </c>
      <c r="H199" t="s">
        <v>150</v>
      </c>
      <c r="I199" s="2">
        <v>45063</v>
      </c>
    </row>
    <row r="200" spans="1:9" x14ac:dyDescent="0.3">
      <c r="A200" t="s">
        <v>46</v>
      </c>
      <c r="B200" t="s">
        <v>28</v>
      </c>
      <c r="C200" t="s">
        <v>604</v>
      </c>
      <c r="D200">
        <v>604</v>
      </c>
      <c r="E200" t="s">
        <v>497</v>
      </c>
      <c r="F200" t="s">
        <v>345</v>
      </c>
      <c r="G200" t="s">
        <v>13</v>
      </c>
      <c r="H200" t="s">
        <v>601</v>
      </c>
      <c r="I200" s="2">
        <v>45061</v>
      </c>
    </row>
    <row r="201" spans="1:9" x14ac:dyDescent="0.3">
      <c r="A201" t="s">
        <v>166</v>
      </c>
      <c r="B201" t="s">
        <v>166</v>
      </c>
      <c r="C201" t="s">
        <v>605</v>
      </c>
      <c r="D201" s="3" t="s">
        <v>606</v>
      </c>
      <c r="E201" t="s">
        <v>607</v>
      </c>
      <c r="F201" t="s">
        <v>608</v>
      </c>
      <c r="G201" t="s">
        <v>13</v>
      </c>
      <c r="H201" t="s">
        <v>45</v>
      </c>
      <c r="I201" s="2">
        <v>45041</v>
      </c>
    </row>
    <row r="202" spans="1:9" x14ac:dyDescent="0.3">
      <c r="A202" t="s">
        <v>126</v>
      </c>
      <c r="B202" t="s">
        <v>126</v>
      </c>
      <c r="C202" t="s">
        <v>609</v>
      </c>
      <c r="D202">
        <v>599</v>
      </c>
      <c r="E202" t="s">
        <v>610</v>
      </c>
      <c r="F202" t="s">
        <v>611</v>
      </c>
      <c r="G202" t="s">
        <v>13</v>
      </c>
      <c r="H202" t="s">
        <v>235</v>
      </c>
      <c r="I202" s="2">
        <v>45041</v>
      </c>
    </row>
    <row r="203" spans="1:9" x14ac:dyDescent="0.3">
      <c r="A203" t="s">
        <v>135</v>
      </c>
      <c r="B203" t="s">
        <v>135</v>
      </c>
      <c r="C203" t="s">
        <v>612</v>
      </c>
      <c r="D203">
        <v>596</v>
      </c>
      <c r="E203" t="s">
        <v>134</v>
      </c>
      <c r="F203" t="s">
        <v>428</v>
      </c>
      <c r="G203" t="s">
        <v>13</v>
      </c>
      <c r="H203" t="s">
        <v>538</v>
      </c>
      <c r="I203" s="2">
        <v>45019</v>
      </c>
    </row>
    <row r="204" spans="1:9" x14ac:dyDescent="0.3">
      <c r="A204" t="s">
        <v>50</v>
      </c>
      <c r="B204" t="s">
        <v>51</v>
      </c>
      <c r="C204" t="s">
        <v>613</v>
      </c>
      <c r="D204">
        <v>589</v>
      </c>
      <c r="E204" t="s">
        <v>614</v>
      </c>
      <c r="F204" t="s">
        <v>55</v>
      </c>
      <c r="G204" t="s">
        <v>320</v>
      </c>
      <c r="H204" t="s">
        <v>56</v>
      </c>
      <c r="I204" s="2">
        <v>44979</v>
      </c>
    </row>
    <row r="205" spans="1:9" x14ac:dyDescent="0.3">
      <c r="A205" t="s">
        <v>259</v>
      </c>
      <c r="B205" t="s">
        <v>259</v>
      </c>
      <c r="C205" t="s">
        <v>615</v>
      </c>
      <c r="D205">
        <v>578</v>
      </c>
      <c r="E205" t="s">
        <v>616</v>
      </c>
      <c r="F205" t="s">
        <v>617</v>
      </c>
      <c r="G205" t="s">
        <v>13</v>
      </c>
      <c r="H205" t="s">
        <v>293</v>
      </c>
      <c r="I205" s="2">
        <v>44958</v>
      </c>
    </row>
    <row r="206" spans="1:9" x14ac:dyDescent="0.3">
      <c r="A206" t="s">
        <v>46</v>
      </c>
      <c r="B206" t="s">
        <v>28</v>
      </c>
      <c r="C206" t="s">
        <v>618</v>
      </c>
      <c r="D206">
        <v>674</v>
      </c>
      <c r="E206" t="s">
        <v>619</v>
      </c>
      <c r="F206" t="s">
        <v>49</v>
      </c>
      <c r="G206" t="s">
        <v>13</v>
      </c>
      <c r="H206" t="s">
        <v>45</v>
      </c>
      <c r="I206" s="2">
        <v>44958</v>
      </c>
    </row>
    <row r="207" spans="1:9" x14ac:dyDescent="0.3">
      <c r="A207" t="s">
        <v>194</v>
      </c>
      <c r="B207" t="s">
        <v>194</v>
      </c>
      <c r="C207" t="s">
        <v>620</v>
      </c>
      <c r="D207">
        <v>579</v>
      </c>
      <c r="E207" t="s">
        <v>621</v>
      </c>
      <c r="F207" t="s">
        <v>77</v>
      </c>
      <c r="G207" t="s">
        <v>164</v>
      </c>
      <c r="H207" t="s">
        <v>99</v>
      </c>
      <c r="I207" s="2">
        <v>44958</v>
      </c>
    </row>
    <row r="208" spans="1:9" x14ac:dyDescent="0.3">
      <c r="A208" t="s">
        <v>33</v>
      </c>
      <c r="B208" t="s">
        <v>33</v>
      </c>
      <c r="C208" t="s">
        <v>622</v>
      </c>
      <c r="D208">
        <v>575</v>
      </c>
      <c r="E208" t="s">
        <v>42</v>
      </c>
      <c r="F208" t="s">
        <v>345</v>
      </c>
      <c r="G208" t="s">
        <v>13</v>
      </c>
      <c r="H208" t="s">
        <v>623</v>
      </c>
      <c r="I208" s="2">
        <v>44951</v>
      </c>
    </row>
    <row r="209" spans="1:9" x14ac:dyDescent="0.3">
      <c r="A209" t="s">
        <v>67</v>
      </c>
      <c r="B209" t="s">
        <v>22</v>
      </c>
      <c r="C209" t="s">
        <v>624</v>
      </c>
      <c r="D209">
        <v>572</v>
      </c>
      <c r="E209" t="s">
        <v>625</v>
      </c>
      <c r="F209" t="s">
        <v>626</v>
      </c>
      <c r="G209" t="s">
        <v>13</v>
      </c>
      <c r="H209" t="s">
        <v>71</v>
      </c>
      <c r="I209" s="2">
        <v>44949</v>
      </c>
    </row>
    <row r="210" spans="1:9" x14ac:dyDescent="0.3">
      <c r="A210" t="s">
        <v>185</v>
      </c>
      <c r="B210" t="s">
        <v>185</v>
      </c>
      <c r="C210" t="s">
        <v>627</v>
      </c>
      <c r="D210">
        <v>553</v>
      </c>
      <c r="E210" t="s">
        <v>628</v>
      </c>
      <c r="F210" t="s">
        <v>77</v>
      </c>
      <c r="G210" t="s">
        <v>164</v>
      </c>
      <c r="H210" t="s">
        <v>188</v>
      </c>
      <c r="I210" s="2">
        <v>44921</v>
      </c>
    </row>
    <row r="211" spans="1:9" x14ac:dyDescent="0.3">
      <c r="A211" t="s">
        <v>357</v>
      </c>
      <c r="B211" t="s">
        <v>357</v>
      </c>
      <c r="C211" t="s">
        <v>629</v>
      </c>
      <c r="D211">
        <v>552</v>
      </c>
      <c r="E211" t="s">
        <v>630</v>
      </c>
      <c r="F211" t="s">
        <v>12</v>
      </c>
      <c r="G211" t="s">
        <v>13</v>
      </c>
      <c r="H211" t="s">
        <v>14</v>
      </c>
      <c r="I211" s="2">
        <v>44921</v>
      </c>
    </row>
    <row r="212" spans="1:9" x14ac:dyDescent="0.3">
      <c r="A212" t="s">
        <v>42</v>
      </c>
      <c r="B212" t="s">
        <v>33</v>
      </c>
      <c r="C212" t="s">
        <v>631</v>
      </c>
      <c r="D212">
        <v>548</v>
      </c>
      <c r="E212" t="s">
        <v>181</v>
      </c>
      <c r="F212" t="s">
        <v>632</v>
      </c>
      <c r="G212" t="s">
        <v>13</v>
      </c>
      <c r="H212" t="s">
        <v>479</v>
      </c>
      <c r="I212" s="2">
        <v>44909</v>
      </c>
    </row>
    <row r="213" spans="1:9" x14ac:dyDescent="0.3">
      <c r="A213" t="s">
        <v>83</v>
      </c>
      <c r="B213" t="s">
        <v>84</v>
      </c>
      <c r="C213" t="s">
        <v>633</v>
      </c>
      <c r="D213">
        <v>547</v>
      </c>
      <c r="E213" t="s">
        <v>634</v>
      </c>
      <c r="F213" t="s">
        <v>304</v>
      </c>
      <c r="G213" t="s">
        <v>13</v>
      </c>
      <c r="H213" t="s">
        <v>88</v>
      </c>
      <c r="I213" s="2">
        <v>44909</v>
      </c>
    </row>
    <row r="214" spans="1:9" x14ac:dyDescent="0.3">
      <c r="A214" t="s">
        <v>166</v>
      </c>
      <c r="B214" t="s">
        <v>166</v>
      </c>
      <c r="C214" t="s">
        <v>635</v>
      </c>
      <c r="D214" s="3" t="s">
        <v>636</v>
      </c>
      <c r="E214" t="s">
        <v>637</v>
      </c>
      <c r="F214" t="s">
        <v>608</v>
      </c>
      <c r="G214" t="s">
        <v>13</v>
      </c>
      <c r="H214" t="s">
        <v>45</v>
      </c>
      <c r="I214" s="2">
        <v>44907</v>
      </c>
    </row>
    <row r="215" spans="1:9" x14ac:dyDescent="0.3">
      <c r="A215" t="s">
        <v>46</v>
      </c>
      <c r="B215" t="s">
        <v>28</v>
      </c>
      <c r="C215" t="s">
        <v>638</v>
      </c>
      <c r="D215" s="3" t="s">
        <v>639</v>
      </c>
      <c r="E215" t="s">
        <v>166</v>
      </c>
      <c r="F215" t="s">
        <v>345</v>
      </c>
      <c r="G215" t="s">
        <v>13</v>
      </c>
      <c r="H215" t="s">
        <v>601</v>
      </c>
      <c r="I215" s="2">
        <v>44902</v>
      </c>
    </row>
    <row r="216" spans="1:9" x14ac:dyDescent="0.3">
      <c r="A216" t="s">
        <v>357</v>
      </c>
      <c r="B216" t="s">
        <v>357</v>
      </c>
      <c r="C216" t="s">
        <v>640</v>
      </c>
      <c r="D216">
        <v>545</v>
      </c>
      <c r="E216" t="s">
        <v>641</v>
      </c>
      <c r="F216" t="s">
        <v>77</v>
      </c>
      <c r="G216" t="s">
        <v>164</v>
      </c>
      <c r="H216" t="s">
        <v>14</v>
      </c>
      <c r="I216" s="2">
        <v>44900</v>
      </c>
    </row>
    <row r="217" spans="1:9" x14ac:dyDescent="0.3">
      <c r="A217" t="s">
        <v>46</v>
      </c>
      <c r="B217" t="s">
        <v>28</v>
      </c>
      <c r="C217" t="s">
        <v>642</v>
      </c>
      <c r="D217" s="3" t="s">
        <v>643</v>
      </c>
      <c r="E217" t="s">
        <v>91</v>
      </c>
      <c r="F217" t="s">
        <v>608</v>
      </c>
      <c r="G217" t="s">
        <v>13</v>
      </c>
      <c r="H217" t="s">
        <v>601</v>
      </c>
      <c r="I217" s="2">
        <v>44900</v>
      </c>
    </row>
    <row r="218" spans="1:9" x14ac:dyDescent="0.3">
      <c r="A218" t="s">
        <v>166</v>
      </c>
      <c r="B218" t="s">
        <v>166</v>
      </c>
      <c r="C218" t="s">
        <v>644</v>
      </c>
      <c r="D218" s="3" t="s">
        <v>645</v>
      </c>
      <c r="E218" t="s">
        <v>646</v>
      </c>
      <c r="F218" t="s">
        <v>608</v>
      </c>
      <c r="G218" t="s">
        <v>13</v>
      </c>
      <c r="H218" t="s">
        <v>45</v>
      </c>
      <c r="I218" s="2">
        <v>44894</v>
      </c>
    </row>
    <row r="219" spans="1:9" x14ac:dyDescent="0.3">
      <c r="A219" t="s">
        <v>170</v>
      </c>
      <c r="B219" t="s">
        <v>22</v>
      </c>
      <c r="C219" t="s">
        <v>647</v>
      </c>
      <c r="D219">
        <v>539</v>
      </c>
      <c r="E219" t="s">
        <v>648</v>
      </c>
      <c r="F219" t="s">
        <v>649</v>
      </c>
      <c r="G219" t="s">
        <v>13</v>
      </c>
      <c r="H219" t="s">
        <v>429</v>
      </c>
      <c r="I219" s="2">
        <v>44874</v>
      </c>
    </row>
    <row r="220" spans="1:9" x14ac:dyDescent="0.3">
      <c r="A220" t="s">
        <v>42</v>
      </c>
      <c r="B220" t="s">
        <v>33</v>
      </c>
      <c r="C220" t="s">
        <v>650</v>
      </c>
      <c r="D220">
        <v>538</v>
      </c>
      <c r="E220" t="s">
        <v>651</v>
      </c>
      <c r="F220" t="s">
        <v>417</v>
      </c>
      <c r="G220" t="s">
        <v>13</v>
      </c>
      <c r="H220" t="s">
        <v>45</v>
      </c>
      <c r="I220" s="2">
        <v>44874</v>
      </c>
    </row>
    <row r="221" spans="1:9" x14ac:dyDescent="0.3">
      <c r="A221" t="s">
        <v>443</v>
      </c>
      <c r="B221" t="s">
        <v>306</v>
      </c>
      <c r="C221" t="s">
        <v>652</v>
      </c>
      <c r="D221" s="3" t="s">
        <v>653</v>
      </c>
      <c r="E221" t="s">
        <v>46</v>
      </c>
      <c r="F221" t="s">
        <v>654</v>
      </c>
      <c r="G221" t="s">
        <v>13</v>
      </c>
      <c r="H221" t="s">
        <v>655</v>
      </c>
      <c r="I221" s="2">
        <v>44866</v>
      </c>
    </row>
    <row r="222" spans="1:9" x14ac:dyDescent="0.3">
      <c r="A222" t="s">
        <v>545</v>
      </c>
      <c r="B222" t="s">
        <v>33</v>
      </c>
      <c r="C222" t="s">
        <v>656</v>
      </c>
      <c r="D222">
        <v>533</v>
      </c>
      <c r="E222" t="s">
        <v>657</v>
      </c>
      <c r="F222" t="s">
        <v>59</v>
      </c>
      <c r="G222" t="s">
        <v>13</v>
      </c>
      <c r="H222" t="s">
        <v>658</v>
      </c>
      <c r="I222" s="2">
        <v>44851</v>
      </c>
    </row>
    <row r="223" spans="1:9" x14ac:dyDescent="0.3">
      <c r="A223" t="s">
        <v>194</v>
      </c>
      <c r="B223" t="s">
        <v>194</v>
      </c>
      <c r="C223" t="s">
        <v>659</v>
      </c>
      <c r="D223">
        <v>528</v>
      </c>
      <c r="E223" t="s">
        <v>660</v>
      </c>
      <c r="F223" t="s">
        <v>77</v>
      </c>
      <c r="G223" t="s">
        <v>164</v>
      </c>
      <c r="H223" t="s">
        <v>99</v>
      </c>
      <c r="I223" s="2">
        <v>44830</v>
      </c>
    </row>
    <row r="224" spans="1:9" x14ac:dyDescent="0.3">
      <c r="A224" t="s">
        <v>443</v>
      </c>
      <c r="B224" t="s">
        <v>306</v>
      </c>
      <c r="C224" t="s">
        <v>661</v>
      </c>
      <c r="D224">
        <v>523</v>
      </c>
      <c r="E224" t="s">
        <v>33</v>
      </c>
      <c r="F224" t="s">
        <v>445</v>
      </c>
      <c r="G224" t="s">
        <v>13</v>
      </c>
      <c r="H224" t="s">
        <v>662</v>
      </c>
      <c r="I224" s="2">
        <v>44823</v>
      </c>
    </row>
    <row r="225" spans="1:9" x14ac:dyDescent="0.3">
      <c r="A225" t="s">
        <v>332</v>
      </c>
      <c r="B225" t="s">
        <v>332</v>
      </c>
      <c r="C225" t="s">
        <v>663</v>
      </c>
      <c r="D225" s="3" t="s">
        <v>664</v>
      </c>
      <c r="E225" t="s">
        <v>665</v>
      </c>
      <c r="F225" t="s">
        <v>666</v>
      </c>
      <c r="G225" t="s">
        <v>337</v>
      </c>
      <c r="H225" t="s">
        <v>338</v>
      </c>
      <c r="I225" s="2">
        <v>44774</v>
      </c>
    </row>
    <row r="226" spans="1:9" x14ac:dyDescent="0.3">
      <c r="A226" t="s">
        <v>185</v>
      </c>
      <c r="B226" t="s">
        <v>185</v>
      </c>
      <c r="C226" t="s">
        <v>667</v>
      </c>
      <c r="D226">
        <v>919</v>
      </c>
      <c r="E226" t="s">
        <v>668</v>
      </c>
      <c r="F226" t="s">
        <v>77</v>
      </c>
      <c r="G226" t="s">
        <v>13</v>
      </c>
      <c r="H226" t="s">
        <v>188</v>
      </c>
      <c r="I226" s="2">
        <v>44746</v>
      </c>
    </row>
    <row r="227" spans="1:9" x14ac:dyDescent="0.3">
      <c r="A227" t="s">
        <v>74</v>
      </c>
      <c r="B227" t="s">
        <v>74</v>
      </c>
      <c r="C227" t="s">
        <v>669</v>
      </c>
      <c r="D227">
        <v>495</v>
      </c>
      <c r="E227" t="s">
        <v>670</v>
      </c>
      <c r="F227" t="s">
        <v>77</v>
      </c>
      <c r="G227" t="s">
        <v>13</v>
      </c>
      <c r="H227" t="s">
        <v>78</v>
      </c>
      <c r="I227" s="2">
        <v>44720</v>
      </c>
    </row>
    <row r="228" spans="1:9" x14ac:dyDescent="0.3">
      <c r="A228" t="s">
        <v>648</v>
      </c>
      <c r="B228" t="s">
        <v>124</v>
      </c>
      <c r="C228" t="s">
        <v>671</v>
      </c>
      <c r="D228">
        <v>493</v>
      </c>
      <c r="E228" t="s">
        <v>672</v>
      </c>
      <c r="F228" t="s">
        <v>673</v>
      </c>
      <c r="G228" t="s">
        <v>13</v>
      </c>
      <c r="H228" t="s">
        <v>674</v>
      </c>
      <c r="I228" s="2">
        <v>44718</v>
      </c>
    </row>
    <row r="229" spans="1:9" x14ac:dyDescent="0.3">
      <c r="A229" t="s">
        <v>15</v>
      </c>
      <c r="B229" t="s">
        <v>15</v>
      </c>
      <c r="C229" t="s">
        <v>675</v>
      </c>
      <c r="D229" s="3" t="s">
        <v>676</v>
      </c>
      <c r="E229" t="s">
        <v>677</v>
      </c>
      <c r="F229" t="s">
        <v>678</v>
      </c>
      <c r="G229" t="s">
        <v>19</v>
      </c>
      <c r="H229" t="s">
        <v>20</v>
      </c>
      <c r="I229" s="2">
        <v>44714</v>
      </c>
    </row>
    <row r="230" spans="1:9" x14ac:dyDescent="0.3">
      <c r="A230" t="s">
        <v>83</v>
      </c>
      <c r="B230" t="s">
        <v>84</v>
      </c>
      <c r="C230" t="s">
        <v>679</v>
      </c>
      <c r="D230">
        <v>491</v>
      </c>
      <c r="E230" t="s">
        <v>680</v>
      </c>
      <c r="F230" t="s">
        <v>681</v>
      </c>
      <c r="G230" t="s">
        <v>13</v>
      </c>
      <c r="H230" t="s">
        <v>88</v>
      </c>
      <c r="I230" s="2">
        <v>44713</v>
      </c>
    </row>
    <row r="231" spans="1:9" x14ac:dyDescent="0.3">
      <c r="A231" t="s">
        <v>83</v>
      </c>
      <c r="B231" t="s">
        <v>84</v>
      </c>
      <c r="C231" t="s">
        <v>682</v>
      </c>
      <c r="D231">
        <v>489</v>
      </c>
      <c r="E231" t="s">
        <v>683</v>
      </c>
      <c r="F231" t="s">
        <v>304</v>
      </c>
      <c r="G231" t="s">
        <v>13</v>
      </c>
      <c r="H231" t="s">
        <v>88</v>
      </c>
      <c r="I231" s="2">
        <v>44692</v>
      </c>
    </row>
    <row r="232" spans="1:9" x14ac:dyDescent="0.3">
      <c r="A232" t="s">
        <v>61</v>
      </c>
      <c r="B232" t="s">
        <v>61</v>
      </c>
      <c r="C232" t="s">
        <v>684</v>
      </c>
      <c r="D232">
        <v>487</v>
      </c>
      <c r="E232" t="s">
        <v>60</v>
      </c>
      <c r="F232" t="s">
        <v>240</v>
      </c>
      <c r="G232" t="s">
        <v>13</v>
      </c>
      <c r="H232" t="s">
        <v>241</v>
      </c>
      <c r="I232" s="2">
        <v>44690</v>
      </c>
    </row>
    <row r="233" spans="1:9" x14ac:dyDescent="0.3">
      <c r="A233" t="s">
        <v>50</v>
      </c>
      <c r="B233" t="s">
        <v>51</v>
      </c>
      <c r="C233" t="s">
        <v>685</v>
      </c>
      <c r="D233">
        <v>483</v>
      </c>
      <c r="E233" t="s">
        <v>686</v>
      </c>
      <c r="F233" t="s">
        <v>18</v>
      </c>
      <c r="G233" t="s">
        <v>13</v>
      </c>
      <c r="H233" t="s">
        <v>56</v>
      </c>
      <c r="I233" s="2">
        <v>44671</v>
      </c>
    </row>
    <row r="234" spans="1:9" x14ac:dyDescent="0.3">
      <c r="A234" t="s">
        <v>278</v>
      </c>
      <c r="B234" t="s">
        <v>278</v>
      </c>
      <c r="C234" t="s">
        <v>687</v>
      </c>
      <c r="D234" s="3" t="s">
        <v>688</v>
      </c>
      <c r="E234" t="s">
        <v>689</v>
      </c>
      <c r="F234" t="s">
        <v>690</v>
      </c>
      <c r="G234" t="s">
        <v>13</v>
      </c>
      <c r="H234" t="s">
        <v>472</v>
      </c>
      <c r="I234" s="2">
        <v>44652</v>
      </c>
    </row>
    <row r="235" spans="1:9" x14ac:dyDescent="0.3">
      <c r="A235" t="s">
        <v>357</v>
      </c>
      <c r="B235" t="s">
        <v>357</v>
      </c>
      <c r="C235" t="s">
        <v>691</v>
      </c>
      <c r="D235">
        <v>474</v>
      </c>
      <c r="E235" t="s">
        <v>692</v>
      </c>
      <c r="F235" t="s">
        <v>77</v>
      </c>
      <c r="G235" t="s">
        <v>164</v>
      </c>
      <c r="H235" t="s">
        <v>14</v>
      </c>
      <c r="I235" s="2">
        <v>44641</v>
      </c>
    </row>
    <row r="236" spans="1:9" x14ac:dyDescent="0.3">
      <c r="A236" t="s">
        <v>134</v>
      </c>
      <c r="B236" t="s">
        <v>135</v>
      </c>
      <c r="C236" t="s">
        <v>693</v>
      </c>
      <c r="D236">
        <v>469</v>
      </c>
      <c r="E236" t="s">
        <v>694</v>
      </c>
      <c r="F236" t="s">
        <v>41</v>
      </c>
      <c r="G236" t="s">
        <v>13</v>
      </c>
      <c r="H236" t="s">
        <v>138</v>
      </c>
      <c r="I236" s="2">
        <v>44630</v>
      </c>
    </row>
    <row r="237" spans="1:9" x14ac:dyDescent="0.3">
      <c r="A237" t="s">
        <v>84</v>
      </c>
      <c r="B237" t="s">
        <v>84</v>
      </c>
      <c r="C237" t="s">
        <v>695</v>
      </c>
      <c r="D237">
        <v>451</v>
      </c>
      <c r="E237" t="s">
        <v>83</v>
      </c>
      <c r="F237" t="s">
        <v>696</v>
      </c>
      <c r="G237" t="s">
        <v>13</v>
      </c>
      <c r="H237" t="s">
        <v>116</v>
      </c>
      <c r="I237" s="2">
        <v>44573</v>
      </c>
    </row>
    <row r="238" spans="1:9" x14ac:dyDescent="0.3">
      <c r="A238" t="s">
        <v>46</v>
      </c>
      <c r="B238" t="s">
        <v>28</v>
      </c>
      <c r="C238" t="s">
        <v>697</v>
      </c>
      <c r="D238" s="3" t="s">
        <v>698</v>
      </c>
      <c r="E238" t="s">
        <v>27</v>
      </c>
      <c r="F238" t="s">
        <v>345</v>
      </c>
      <c r="G238" t="s">
        <v>13</v>
      </c>
      <c r="H238" t="s">
        <v>601</v>
      </c>
      <c r="I238" s="2">
        <v>44562</v>
      </c>
    </row>
    <row r="239" spans="1:9" x14ac:dyDescent="0.3">
      <c r="A239" t="s">
        <v>83</v>
      </c>
      <c r="B239" t="s">
        <v>84</v>
      </c>
      <c r="C239" t="s">
        <v>699</v>
      </c>
      <c r="D239">
        <v>447</v>
      </c>
      <c r="E239" t="s">
        <v>700</v>
      </c>
      <c r="F239" t="s">
        <v>701</v>
      </c>
      <c r="G239" t="s">
        <v>13</v>
      </c>
      <c r="H239" t="s">
        <v>88</v>
      </c>
      <c r="I239" s="2">
        <v>44550</v>
      </c>
    </row>
    <row r="240" spans="1:9" x14ac:dyDescent="0.3">
      <c r="A240" t="s">
        <v>126</v>
      </c>
      <c r="B240" t="s">
        <v>126</v>
      </c>
      <c r="C240" t="s">
        <v>702</v>
      </c>
      <c r="D240">
        <v>441</v>
      </c>
      <c r="E240" t="s">
        <v>703</v>
      </c>
      <c r="F240" t="s">
        <v>704</v>
      </c>
      <c r="G240" t="s">
        <v>13</v>
      </c>
      <c r="H240" t="s">
        <v>235</v>
      </c>
      <c r="I240" s="2">
        <v>44546</v>
      </c>
    </row>
    <row r="241" spans="1:9" x14ac:dyDescent="0.3">
      <c r="A241" t="s">
        <v>126</v>
      </c>
      <c r="B241" t="s">
        <v>126</v>
      </c>
      <c r="C241" t="s">
        <v>705</v>
      </c>
      <c r="D241">
        <v>439</v>
      </c>
      <c r="E241" t="s">
        <v>706</v>
      </c>
      <c r="F241" t="s">
        <v>707</v>
      </c>
      <c r="G241" t="s">
        <v>13</v>
      </c>
      <c r="H241" t="s">
        <v>235</v>
      </c>
      <c r="I241" s="2">
        <v>44543</v>
      </c>
    </row>
    <row r="242" spans="1:9" x14ac:dyDescent="0.3">
      <c r="A242" t="s">
        <v>170</v>
      </c>
      <c r="B242" t="s">
        <v>22</v>
      </c>
      <c r="C242" t="s">
        <v>708</v>
      </c>
      <c r="D242">
        <v>434</v>
      </c>
      <c r="E242" t="s">
        <v>709</v>
      </c>
      <c r="F242" t="s">
        <v>710</v>
      </c>
      <c r="G242" t="s">
        <v>13</v>
      </c>
      <c r="H242" t="s">
        <v>174</v>
      </c>
      <c r="I242" s="2">
        <v>44531</v>
      </c>
    </row>
    <row r="243" spans="1:9" x14ac:dyDescent="0.3">
      <c r="A243" t="s">
        <v>477</v>
      </c>
      <c r="B243" t="s">
        <v>33</v>
      </c>
      <c r="C243" t="s">
        <v>711</v>
      </c>
      <c r="D243">
        <v>433</v>
      </c>
      <c r="E243" t="s">
        <v>712</v>
      </c>
      <c r="F243" t="s">
        <v>59</v>
      </c>
      <c r="G243" t="s">
        <v>13</v>
      </c>
      <c r="H243" t="s">
        <v>713</v>
      </c>
      <c r="I243" s="2">
        <v>44522</v>
      </c>
    </row>
    <row r="244" spans="1:9" x14ac:dyDescent="0.3">
      <c r="A244" t="s">
        <v>259</v>
      </c>
      <c r="B244" t="s">
        <v>259</v>
      </c>
      <c r="C244" t="s">
        <v>714</v>
      </c>
      <c r="D244">
        <v>431</v>
      </c>
      <c r="E244" t="s">
        <v>715</v>
      </c>
      <c r="F244" t="s">
        <v>716</v>
      </c>
      <c r="G244" t="s">
        <v>13</v>
      </c>
      <c r="H244" t="s">
        <v>717</v>
      </c>
      <c r="I244" s="2">
        <v>44522</v>
      </c>
    </row>
    <row r="245" spans="1:9" x14ac:dyDescent="0.3">
      <c r="A245" t="s">
        <v>96</v>
      </c>
      <c r="B245" t="s">
        <v>96</v>
      </c>
      <c r="C245" t="s">
        <v>718</v>
      </c>
      <c r="D245">
        <v>430</v>
      </c>
      <c r="E245" t="s">
        <v>194</v>
      </c>
      <c r="F245" t="s">
        <v>387</v>
      </c>
      <c r="G245" t="s">
        <v>164</v>
      </c>
      <c r="H245" t="s">
        <v>99</v>
      </c>
      <c r="I245" s="2">
        <v>44501</v>
      </c>
    </row>
    <row r="246" spans="1:9" x14ac:dyDescent="0.3">
      <c r="A246" t="s">
        <v>15</v>
      </c>
      <c r="B246" t="s">
        <v>15</v>
      </c>
      <c r="C246" t="s">
        <v>719</v>
      </c>
      <c r="D246" s="3" t="s">
        <v>720</v>
      </c>
      <c r="E246" t="s">
        <v>721</v>
      </c>
      <c r="F246" t="s">
        <v>407</v>
      </c>
      <c r="G246" t="s">
        <v>19</v>
      </c>
      <c r="H246" t="s">
        <v>20</v>
      </c>
      <c r="I246" s="2">
        <v>44494</v>
      </c>
    </row>
    <row r="247" spans="1:9" x14ac:dyDescent="0.3">
      <c r="A247" t="s">
        <v>42</v>
      </c>
      <c r="B247" t="s">
        <v>33</v>
      </c>
      <c r="C247" t="s">
        <v>722</v>
      </c>
      <c r="D247">
        <v>418</v>
      </c>
      <c r="E247" t="s">
        <v>723</v>
      </c>
      <c r="F247" t="s">
        <v>596</v>
      </c>
      <c r="G247" t="s">
        <v>13</v>
      </c>
      <c r="H247" t="s">
        <v>418</v>
      </c>
      <c r="I247" s="2">
        <v>44482</v>
      </c>
    </row>
    <row r="248" spans="1:9" x14ac:dyDescent="0.3">
      <c r="A248" t="s">
        <v>50</v>
      </c>
      <c r="B248" t="s">
        <v>51</v>
      </c>
      <c r="C248" t="s">
        <v>724</v>
      </c>
      <c r="D248">
        <v>401</v>
      </c>
      <c r="E248" t="s">
        <v>725</v>
      </c>
      <c r="F248" t="s">
        <v>55</v>
      </c>
      <c r="G248" t="s">
        <v>13</v>
      </c>
      <c r="H248" t="s">
        <v>56</v>
      </c>
      <c r="I248" s="2">
        <v>44391</v>
      </c>
    </row>
    <row r="249" spans="1:9" x14ac:dyDescent="0.3">
      <c r="A249" t="s">
        <v>259</v>
      </c>
      <c r="B249" t="s">
        <v>259</v>
      </c>
      <c r="C249" t="s">
        <v>726</v>
      </c>
      <c r="D249">
        <v>388</v>
      </c>
      <c r="E249" t="s">
        <v>727</v>
      </c>
      <c r="F249" t="s">
        <v>728</v>
      </c>
      <c r="G249" t="s">
        <v>13</v>
      </c>
      <c r="H249" t="s">
        <v>717</v>
      </c>
      <c r="I249" s="2">
        <v>44348</v>
      </c>
    </row>
    <row r="250" spans="1:9" x14ac:dyDescent="0.3">
      <c r="A250" t="s">
        <v>194</v>
      </c>
      <c r="B250" t="s">
        <v>194</v>
      </c>
      <c r="C250" t="s">
        <v>729</v>
      </c>
      <c r="D250">
        <v>841</v>
      </c>
      <c r="E250" t="s">
        <v>730</v>
      </c>
      <c r="F250" t="s">
        <v>12</v>
      </c>
      <c r="G250" t="s">
        <v>320</v>
      </c>
      <c r="H250" t="s">
        <v>99</v>
      </c>
      <c r="I250" s="2">
        <v>44292</v>
      </c>
    </row>
    <row r="251" spans="1:9" x14ac:dyDescent="0.3">
      <c r="A251" t="s">
        <v>106</v>
      </c>
      <c r="B251" t="s">
        <v>106</v>
      </c>
      <c r="C251" t="s">
        <v>731</v>
      </c>
      <c r="D251">
        <v>376</v>
      </c>
      <c r="E251" t="s">
        <v>732</v>
      </c>
      <c r="F251" t="s">
        <v>733</v>
      </c>
      <c r="G251" t="s">
        <v>13</v>
      </c>
      <c r="H251" t="s">
        <v>110</v>
      </c>
      <c r="I251" s="2">
        <v>44259</v>
      </c>
    </row>
    <row r="252" spans="1:9" x14ac:dyDescent="0.3">
      <c r="A252" t="s">
        <v>194</v>
      </c>
      <c r="B252" t="s">
        <v>194</v>
      </c>
      <c r="C252" t="s">
        <v>734</v>
      </c>
      <c r="D252">
        <v>373</v>
      </c>
      <c r="E252" t="s">
        <v>735</v>
      </c>
      <c r="F252" t="s">
        <v>77</v>
      </c>
      <c r="G252" t="s">
        <v>164</v>
      </c>
      <c r="H252" t="s">
        <v>99</v>
      </c>
      <c r="I252" s="2">
        <v>44249</v>
      </c>
    </row>
    <row r="253" spans="1:9" x14ac:dyDescent="0.3">
      <c r="A253" t="s">
        <v>567</v>
      </c>
      <c r="B253" t="s">
        <v>736</v>
      </c>
      <c r="C253" t="s">
        <v>737</v>
      </c>
      <c r="D253">
        <v>370</v>
      </c>
      <c r="E253" t="s">
        <v>738</v>
      </c>
      <c r="F253" t="s">
        <v>739</v>
      </c>
      <c r="G253" t="s">
        <v>13</v>
      </c>
      <c r="H253" t="s">
        <v>568</v>
      </c>
      <c r="I253" s="2">
        <v>44228</v>
      </c>
    </row>
    <row r="254" spans="1:9" x14ac:dyDescent="0.3">
      <c r="A254" t="s">
        <v>571</v>
      </c>
      <c r="B254" t="s">
        <v>135</v>
      </c>
      <c r="C254" t="s">
        <v>740</v>
      </c>
      <c r="D254">
        <v>356</v>
      </c>
      <c r="E254" t="s">
        <v>741</v>
      </c>
      <c r="F254" t="s">
        <v>41</v>
      </c>
      <c r="G254" t="s">
        <v>13</v>
      </c>
      <c r="H254" t="s">
        <v>574</v>
      </c>
      <c r="I254" s="2">
        <v>44097</v>
      </c>
    </row>
    <row r="255" spans="1:9" x14ac:dyDescent="0.3">
      <c r="A255" t="s">
        <v>83</v>
      </c>
      <c r="B255" t="s">
        <v>84</v>
      </c>
      <c r="C255" t="s">
        <v>742</v>
      </c>
      <c r="D255">
        <v>349</v>
      </c>
      <c r="E255" t="s">
        <v>743</v>
      </c>
      <c r="F255" t="s">
        <v>744</v>
      </c>
      <c r="G255" t="s">
        <v>13</v>
      </c>
      <c r="H255" t="s">
        <v>88</v>
      </c>
      <c r="I255" s="2">
        <v>43985</v>
      </c>
    </row>
    <row r="256" spans="1:9" x14ac:dyDescent="0.3">
      <c r="A256" t="s">
        <v>166</v>
      </c>
      <c r="B256" t="s">
        <v>166</v>
      </c>
      <c r="C256" t="s">
        <v>745</v>
      </c>
      <c r="D256">
        <v>343</v>
      </c>
      <c r="E256" t="s">
        <v>746</v>
      </c>
      <c r="F256" t="s">
        <v>94</v>
      </c>
      <c r="G256" t="s">
        <v>13</v>
      </c>
      <c r="H256" t="s">
        <v>45</v>
      </c>
      <c r="I256" s="2">
        <v>43888</v>
      </c>
    </row>
    <row r="257" spans="1:9" x14ac:dyDescent="0.3">
      <c r="A257" t="s">
        <v>242</v>
      </c>
      <c r="B257" t="s">
        <v>51</v>
      </c>
      <c r="C257" t="s">
        <v>747</v>
      </c>
      <c r="D257">
        <v>314</v>
      </c>
      <c r="E257" t="s">
        <v>50</v>
      </c>
      <c r="F257" t="s">
        <v>748</v>
      </c>
      <c r="G257" t="s">
        <v>13</v>
      </c>
      <c r="H257" t="s">
        <v>247</v>
      </c>
      <c r="I257" s="2">
        <v>43605</v>
      </c>
    </row>
    <row r="258" spans="1:9" x14ac:dyDescent="0.3">
      <c r="A258" t="s">
        <v>259</v>
      </c>
      <c r="B258" t="s">
        <v>259</v>
      </c>
      <c r="C258" t="s">
        <v>749</v>
      </c>
      <c r="D258">
        <v>292</v>
      </c>
      <c r="E258" t="s">
        <v>750</v>
      </c>
      <c r="F258" t="s">
        <v>751</v>
      </c>
      <c r="G258" t="s">
        <v>13</v>
      </c>
      <c r="H258" t="s">
        <v>717</v>
      </c>
      <c r="I258" s="2">
        <v>43556</v>
      </c>
    </row>
    <row r="259" spans="1:9" x14ac:dyDescent="0.3">
      <c r="A259" t="s">
        <v>135</v>
      </c>
      <c r="B259" t="s">
        <v>135</v>
      </c>
      <c r="C259" t="s">
        <v>752</v>
      </c>
      <c r="D259">
        <v>283</v>
      </c>
      <c r="E259" t="s">
        <v>571</v>
      </c>
      <c r="F259" t="s">
        <v>428</v>
      </c>
      <c r="G259" t="s">
        <v>13</v>
      </c>
      <c r="H259" t="s">
        <v>538</v>
      </c>
      <c r="I259" s="2">
        <v>43509</v>
      </c>
    </row>
    <row r="260" spans="1:9" x14ac:dyDescent="0.3">
      <c r="A260" t="s">
        <v>305</v>
      </c>
      <c r="B260" t="s">
        <v>306</v>
      </c>
      <c r="C260" t="s">
        <v>753</v>
      </c>
      <c r="D260">
        <v>274</v>
      </c>
      <c r="E260" t="s">
        <v>259</v>
      </c>
      <c r="F260" t="s">
        <v>754</v>
      </c>
      <c r="G260" t="s">
        <v>13</v>
      </c>
      <c r="H260" t="s">
        <v>755</v>
      </c>
      <c r="I260" s="2">
        <v>43416</v>
      </c>
    </row>
    <row r="261" spans="1:9" x14ac:dyDescent="0.3">
      <c r="A261" t="s">
        <v>545</v>
      </c>
      <c r="B261" t="s">
        <v>33</v>
      </c>
      <c r="C261" t="s">
        <v>756</v>
      </c>
      <c r="D261">
        <v>272</v>
      </c>
      <c r="E261" t="s">
        <v>757</v>
      </c>
      <c r="F261" t="s">
        <v>758</v>
      </c>
      <c r="G261" t="s">
        <v>13</v>
      </c>
      <c r="H261" t="s">
        <v>658</v>
      </c>
      <c r="I261" s="2">
        <v>43416</v>
      </c>
    </row>
    <row r="262" spans="1:9" x14ac:dyDescent="0.3">
      <c r="A262" t="s">
        <v>42</v>
      </c>
      <c r="B262" t="s">
        <v>33</v>
      </c>
      <c r="C262" t="s">
        <v>759</v>
      </c>
      <c r="D262">
        <v>261</v>
      </c>
      <c r="E262" t="s">
        <v>760</v>
      </c>
      <c r="F262" t="s">
        <v>596</v>
      </c>
      <c r="G262" t="s">
        <v>13</v>
      </c>
      <c r="H262" t="s">
        <v>45</v>
      </c>
      <c r="I262" s="2">
        <v>43313</v>
      </c>
    </row>
    <row r="263" spans="1:9" x14ac:dyDescent="0.3">
      <c r="A263" t="s">
        <v>761</v>
      </c>
      <c r="B263" t="s">
        <v>762</v>
      </c>
      <c r="C263" t="s">
        <v>763</v>
      </c>
      <c r="D263">
        <v>409</v>
      </c>
      <c r="E263" t="s">
        <v>161</v>
      </c>
      <c r="F263" t="s">
        <v>387</v>
      </c>
      <c r="G263" t="s">
        <v>164</v>
      </c>
      <c r="H263" t="s">
        <v>165</v>
      </c>
      <c r="I263" s="2">
        <v>43243</v>
      </c>
    </row>
    <row r="264" spans="1:9" x14ac:dyDescent="0.3">
      <c r="A264" t="s">
        <v>259</v>
      </c>
      <c r="B264" t="s">
        <v>259</v>
      </c>
      <c r="C264" t="s">
        <v>764</v>
      </c>
      <c r="D264">
        <v>244</v>
      </c>
      <c r="E264" t="s">
        <v>765</v>
      </c>
      <c r="F264" t="s">
        <v>766</v>
      </c>
      <c r="G264" t="s">
        <v>13</v>
      </c>
      <c r="H264" t="s">
        <v>767</v>
      </c>
      <c r="I264" s="2">
        <v>43160</v>
      </c>
    </row>
    <row r="265" spans="1:9" x14ac:dyDescent="0.3">
      <c r="A265" t="s">
        <v>166</v>
      </c>
      <c r="B265" t="s">
        <v>166</v>
      </c>
      <c r="C265" t="s">
        <v>768</v>
      </c>
      <c r="D265">
        <v>236</v>
      </c>
      <c r="E265" t="s">
        <v>769</v>
      </c>
      <c r="F265" t="s">
        <v>31</v>
      </c>
      <c r="G265" t="s">
        <v>13</v>
      </c>
      <c r="H265" t="s">
        <v>45</v>
      </c>
      <c r="I265" s="2">
        <v>43028</v>
      </c>
    </row>
    <row r="266" spans="1:9" x14ac:dyDescent="0.3">
      <c r="A266" t="s">
        <v>242</v>
      </c>
      <c r="B266" t="s">
        <v>51</v>
      </c>
      <c r="C266" t="s">
        <v>770</v>
      </c>
      <c r="D266">
        <v>180</v>
      </c>
      <c r="E266" t="s">
        <v>197</v>
      </c>
      <c r="F266" t="s">
        <v>246</v>
      </c>
      <c r="G266" t="s">
        <v>13</v>
      </c>
      <c r="H266" t="s">
        <v>247</v>
      </c>
      <c r="I266" s="2">
        <v>42381</v>
      </c>
    </row>
    <row r="267" spans="1:9" x14ac:dyDescent="0.3">
      <c r="A267" t="s">
        <v>423</v>
      </c>
      <c r="B267" t="s">
        <v>423</v>
      </c>
      <c r="C267" t="s">
        <v>771</v>
      </c>
      <c r="D267">
        <v>169</v>
      </c>
      <c r="E267" t="s">
        <v>84</v>
      </c>
      <c r="F267" t="s">
        <v>772</v>
      </c>
      <c r="G267" t="s">
        <v>13</v>
      </c>
      <c r="H267" t="s">
        <v>773</v>
      </c>
      <c r="I267" s="2">
        <v>42248</v>
      </c>
    </row>
    <row r="268" spans="1:9" x14ac:dyDescent="0.3">
      <c r="A268" t="s">
        <v>156</v>
      </c>
      <c r="B268" t="s">
        <v>156</v>
      </c>
      <c r="C268" t="s">
        <v>774</v>
      </c>
      <c r="D268">
        <v>131</v>
      </c>
      <c r="E268" t="s">
        <v>775</v>
      </c>
      <c r="F268" t="s">
        <v>173</v>
      </c>
      <c r="G268" t="s">
        <v>13</v>
      </c>
      <c r="H268" t="s">
        <v>160</v>
      </c>
      <c r="I268" s="2">
        <v>41255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4"/>
  <sheetViews>
    <sheetView workbookViewId="0">
      <selection activeCell="A25" sqref="A2:XFD25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14.5546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x14ac:dyDescent="0.3">
      <c r="A1" s="5" t="s">
        <v>776</v>
      </c>
      <c r="B1" s="5" t="s">
        <v>777</v>
      </c>
      <c r="C1" s="5" t="s">
        <v>778</v>
      </c>
      <c r="D1" s="5" t="s">
        <v>2</v>
      </c>
      <c r="E1" s="5" t="s">
        <v>779</v>
      </c>
      <c r="F1" s="5" t="s">
        <v>780</v>
      </c>
      <c r="G1" s="5" t="s">
        <v>781</v>
      </c>
      <c r="H1" s="5" t="s">
        <v>782</v>
      </c>
      <c r="I1" s="5" t="s">
        <v>783</v>
      </c>
      <c r="J1" s="5" t="s">
        <v>784</v>
      </c>
      <c r="K1" s="5" t="s">
        <v>785</v>
      </c>
      <c r="L1" s="5" t="s">
        <v>786</v>
      </c>
      <c r="M1" s="5" t="s">
        <v>787</v>
      </c>
      <c r="N1" s="5" t="s">
        <v>788</v>
      </c>
      <c r="O1" s="5" t="s">
        <v>789</v>
      </c>
      <c r="P1" s="5" t="s">
        <v>790</v>
      </c>
      <c r="Q1" s="5" t="s">
        <v>791</v>
      </c>
    </row>
    <row r="2" spans="1:17" x14ac:dyDescent="0.3">
      <c r="A2" s="11" t="s">
        <v>792</v>
      </c>
      <c r="B2" s="11" t="s">
        <v>190</v>
      </c>
      <c r="C2" s="11" t="s">
        <v>189</v>
      </c>
      <c r="D2" s="11"/>
      <c r="E2" s="11" t="s">
        <v>793</v>
      </c>
      <c r="F2" s="11"/>
      <c r="G2" s="11" t="s">
        <v>794</v>
      </c>
      <c r="H2" s="11" t="s">
        <v>123</v>
      </c>
      <c r="I2" s="11" t="s">
        <v>793</v>
      </c>
      <c r="J2" s="11"/>
      <c r="K2" s="11" t="s">
        <v>793</v>
      </c>
      <c r="L2" s="11"/>
      <c r="M2" s="11" t="s">
        <v>141</v>
      </c>
      <c r="N2" s="11" t="s">
        <v>453</v>
      </c>
      <c r="O2" s="11" t="str">
        <f>IF(TabelaRespostas[[#This Row],[Momento do Envio]]&gt;=1,"SIM","NÃO")</f>
        <v>SIM</v>
      </c>
      <c r="P2" s="11" t="s">
        <v>795</v>
      </c>
      <c r="Q2" s="11" t="s">
        <v>796</v>
      </c>
    </row>
    <row r="3" spans="1:17" x14ac:dyDescent="0.3"/>
    <row r="4" spans="1:17" x14ac:dyDescent="0.3"/>
    <row r="5" spans="1:17" x14ac:dyDescent="0.3"/>
    <row r="6" spans="1:17" x14ac:dyDescent="0.3"/>
    <row r="7" spans="1:17" x14ac:dyDescent="0.3"/>
    <row r="8" spans="1:17" x14ac:dyDescent="0.3"/>
    <row r="9" spans="1:17" x14ac:dyDescent="0.3"/>
    <row r="10" spans="1:17" x14ac:dyDescent="0.3"/>
    <row r="11" spans="1:17" x14ac:dyDescent="0.3"/>
    <row r="12" spans="1:17" x14ac:dyDescent="0.3"/>
    <row r="13" spans="1:17" x14ac:dyDescent="0.3"/>
    <row r="14" spans="1:17" x14ac:dyDescent="0.3"/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"/>
  <sheetViews>
    <sheetView showGridLines="0" workbookViewId="0">
      <selection activeCell="A3" sqref="A3:A10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797</v>
      </c>
      <c r="C1" t="s">
        <v>798</v>
      </c>
      <c r="D1">
        <f>D3-D2</f>
        <v>58</v>
      </c>
    </row>
    <row r="2" spans="1:4" x14ac:dyDescent="0.3">
      <c r="A2" s="9" t="s">
        <v>777</v>
      </c>
      <c r="B2">
        <f>COUNTA(A:A)-2</f>
        <v>1</v>
      </c>
      <c r="C2" t="s">
        <v>799</v>
      </c>
      <c r="D2">
        <f>B2</f>
        <v>1</v>
      </c>
    </row>
    <row r="3" spans="1:4" x14ac:dyDescent="0.3">
      <c r="A3" t="s">
        <v>800</v>
      </c>
      <c r="C3" t="s">
        <v>801</v>
      </c>
      <c r="D3">
        <f>COUNTA(_xlfn.UNIQUE(Base_Dados!A:A))-1</f>
        <v>59</v>
      </c>
    </row>
    <row r="4" spans="1:4" x14ac:dyDescent="0.3">
      <c r="A4" t="s">
        <v>802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B73"/>
  <sheetViews>
    <sheetView showGridLines="0" workbookViewId="0">
      <selection activeCell="A27" sqref="A27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10" t="s">
        <v>803</v>
      </c>
    </row>
    <row r="2" spans="1:1" x14ac:dyDescent="0.3">
      <c r="A2" s="6" t="str" cm="1">
        <f t="array" ref="A2:A58">_xlfn._xlws.SORT(_xlfn.UNIQUE(_xlfn._xlws.FILTER(Base_Dados!A2:A479, (Base_Dados!A2:A479&lt;&gt;"") * (COUNTIF(Respostas!B:B, Base_Dados!A2:A479)=0), "✅ Todos responderam!")))</f>
        <v>ALEX ALVARES PIMENTEL MACIEL</v>
      </c>
    </row>
    <row r="3" spans="1:1" x14ac:dyDescent="0.3">
      <c r="A3" s="6" t="str">
        <v>ALINE DE GOES CAMARGO</v>
      </c>
    </row>
    <row r="4" spans="1:1" x14ac:dyDescent="0.3">
      <c r="A4" s="6" t="str">
        <v>AMANDA MIRANDA DE CARVALHO</v>
      </c>
    </row>
    <row r="5" spans="1:1" x14ac:dyDescent="0.3">
      <c r="A5" s="6" t="str">
        <v>AMANDA STEFANI SOUSA DE ALMEIDA SANTOS</v>
      </c>
    </row>
    <row r="6" spans="1:1" x14ac:dyDescent="0.3">
      <c r="A6" s="6" t="str">
        <v>ANDRE NADDEO</v>
      </c>
    </row>
    <row r="7" spans="1:1" x14ac:dyDescent="0.3">
      <c r="A7" s="6" t="str">
        <v>ANDRESSA RODRIGUES MORATO MAIA</v>
      </c>
    </row>
    <row r="8" spans="1:1" x14ac:dyDescent="0.3">
      <c r="A8" s="6" t="str">
        <v>ANEDINA IZABEL DUARTE SOUZA</v>
      </c>
    </row>
    <row r="9" spans="1:1" x14ac:dyDescent="0.3">
      <c r="A9" s="6" t="str">
        <v>BRAULIO PIOVEZANA RINCO</v>
      </c>
    </row>
    <row r="10" spans="1:1" x14ac:dyDescent="0.3">
      <c r="A10" s="6" t="str">
        <v>BRUNNA KAROLINE QUEIROZ RODRIGUES</v>
      </c>
    </row>
    <row r="11" spans="1:1" x14ac:dyDescent="0.3">
      <c r="A11" s="6" t="str">
        <v>BRUNO CASTRO METZKER</v>
      </c>
    </row>
    <row r="12" spans="1:1" x14ac:dyDescent="0.3">
      <c r="A12" s="6" t="str">
        <v>BRUNO NUNES DE SOUZA SANTOS</v>
      </c>
    </row>
    <row r="13" spans="1:1" x14ac:dyDescent="0.3">
      <c r="A13" s="6" t="str">
        <v>CAMILA DA SILVA ANDRADE</v>
      </c>
    </row>
    <row r="14" spans="1:1" x14ac:dyDescent="0.3">
      <c r="A14" s="6" t="str">
        <v>CARINE REIS DOS SANTOS</v>
      </c>
    </row>
    <row r="15" spans="1:1" x14ac:dyDescent="0.3">
      <c r="A15" s="6" t="str">
        <v>CAROLINE PAIXÃO VIEIRA DE SENA</v>
      </c>
    </row>
    <row r="16" spans="1:1" x14ac:dyDescent="0.3">
      <c r="A16" s="6" t="str">
        <v>CATERINE NUNES BARBOSA</v>
      </c>
    </row>
    <row r="17" spans="1:1" x14ac:dyDescent="0.3">
      <c r="A17" s="6" t="str">
        <v>DANILO ALEXANDRE MONTEIRO DE CASTRO SABBAGH</v>
      </c>
    </row>
    <row r="18" spans="1:1" x14ac:dyDescent="0.3">
      <c r="A18" s="6" t="str">
        <v>DENIS GABRIEL ABREU DE MELO</v>
      </c>
    </row>
    <row r="19" spans="1:1" x14ac:dyDescent="0.3">
      <c r="A19" s="6" t="str">
        <v>DIEGO PIRES</v>
      </c>
    </row>
    <row r="20" spans="1:1" x14ac:dyDescent="0.3">
      <c r="A20" s="6" t="str">
        <v>ELIANE PEREIRA DA SILVA HIDALGO</v>
      </c>
    </row>
    <row r="21" spans="1:1" x14ac:dyDescent="0.3">
      <c r="A21" s="6" t="str">
        <v>ELISANGELA PEDRO RODRIGUES OLIVEIRA</v>
      </c>
    </row>
    <row r="22" spans="1:1" x14ac:dyDescent="0.3">
      <c r="A22" s="6" t="str">
        <v>ELISON GLAUBER DE CASTRO</v>
      </c>
    </row>
    <row r="23" spans="1:1" x14ac:dyDescent="0.3">
      <c r="A23" s="6" t="str">
        <v>FERNANDA DE SOUZA SILVEIRA</v>
      </c>
    </row>
    <row r="24" spans="1:1" x14ac:dyDescent="0.3">
      <c r="A24" s="6" t="str">
        <v>FLAVIO HENRIQUE ALMEIDA FERREIRA DE MELO</v>
      </c>
    </row>
    <row r="25" spans="1:1" x14ac:dyDescent="0.3">
      <c r="A25" s="6" t="str">
        <v>GIOVANNA DE ARAUJO GIACON</v>
      </c>
    </row>
    <row r="26" spans="1:1" x14ac:dyDescent="0.3">
      <c r="A26" s="6" t="str">
        <v>GUSTAVO ARANDA DAMBROSKI</v>
      </c>
    </row>
    <row r="27" spans="1:1" x14ac:dyDescent="0.3">
      <c r="A27" s="6" t="str">
        <v>HAYNA CARDOSO PINTO</v>
      </c>
    </row>
    <row r="28" spans="1:1" x14ac:dyDescent="0.3">
      <c r="A28" s="6" t="str">
        <v>JEZI FERNANDO OLIVEIRA</v>
      </c>
    </row>
    <row r="29" spans="1:1" x14ac:dyDescent="0.3">
      <c r="A29" s="6" t="str">
        <v>KETTULY FERNANDA ALVES DE AMORIM SANTIAGO</v>
      </c>
    </row>
    <row r="30" spans="1:1" x14ac:dyDescent="0.3">
      <c r="A30" s="6" t="str">
        <v>LEON DOS REIS CALIXTO</v>
      </c>
    </row>
    <row r="31" spans="1:1" x14ac:dyDescent="0.3">
      <c r="A31" s="6" t="str">
        <v>LORRAYNE CRISTINE THEZA DO CARMO</v>
      </c>
    </row>
    <row r="32" spans="1:1" x14ac:dyDescent="0.3">
      <c r="A32" s="6" t="str">
        <v>LUCAS BICALHO DE FREITAS</v>
      </c>
    </row>
    <row r="33" spans="1:1" x14ac:dyDescent="0.3">
      <c r="A33" s="6" t="str">
        <v>LUCAS BUETTO DE ANGELIS</v>
      </c>
    </row>
    <row r="34" spans="1:1" x14ac:dyDescent="0.3">
      <c r="A34" s="6" t="str">
        <v>LUIS FERNANDO KALIL ROSENBURG DE CASTRO</v>
      </c>
    </row>
    <row r="35" spans="1:1" x14ac:dyDescent="0.3">
      <c r="A35" s="6" t="str">
        <v>LUÍS HENRIQUE SOARES DUTRA DE ANDRADE</v>
      </c>
    </row>
    <row r="36" spans="1:1" x14ac:dyDescent="0.3">
      <c r="A36" s="6" t="str">
        <v>MAIARA SCHWENGBER CORREA</v>
      </c>
    </row>
    <row r="37" spans="1:1" x14ac:dyDescent="0.3">
      <c r="A37" s="6" t="str">
        <v>MARCELA REGGIANI MORAES</v>
      </c>
    </row>
    <row r="38" spans="1:1" x14ac:dyDescent="0.3">
      <c r="A38" s="6" t="str">
        <v>MARIANA DE ALBUQUERQUE LOPES</v>
      </c>
    </row>
    <row r="39" spans="1:1" x14ac:dyDescent="0.3">
      <c r="A39" s="6" t="str">
        <v>MATHEUS ARTHUR FACHIN</v>
      </c>
    </row>
    <row r="40" spans="1:1" x14ac:dyDescent="0.3">
      <c r="A40" s="6" t="str">
        <v>NUBIA AQUINO DA SILVA</v>
      </c>
    </row>
    <row r="41" spans="1:1" x14ac:dyDescent="0.3">
      <c r="A41" s="6" t="str">
        <v>PAULA ROBERTA GOMES LISBOA</v>
      </c>
    </row>
    <row r="42" spans="1:1" x14ac:dyDescent="0.3">
      <c r="A42" s="6" t="str">
        <v>RAMON BARCELOS VILAR GUIMARÃES</v>
      </c>
    </row>
    <row r="43" spans="1:1" x14ac:dyDescent="0.3">
      <c r="A43" s="6" t="str">
        <v>RAPHAEL AZEVEDO</v>
      </c>
    </row>
    <row r="44" spans="1:1" x14ac:dyDescent="0.3">
      <c r="A44" s="6" t="str">
        <v>RENNAN LUCIO DE MOURA</v>
      </c>
    </row>
    <row r="45" spans="1:1" x14ac:dyDescent="0.3">
      <c r="A45" s="6" t="str">
        <v>RENNAN VILAR GUIMARAES CASTRO ANTUNES</v>
      </c>
    </row>
    <row r="46" spans="1:1" x14ac:dyDescent="0.3">
      <c r="A46" s="6" t="str">
        <v>RICARDO ESTEVAO DE ALMEIDA</v>
      </c>
    </row>
    <row r="47" spans="1:1" x14ac:dyDescent="0.3">
      <c r="A47" s="6" t="str">
        <v>RODNEY DUARTE DOS SANTOS</v>
      </c>
    </row>
    <row r="48" spans="1:1" x14ac:dyDescent="0.3">
      <c r="A48" s="6" t="str">
        <v>RODRIGO ASSUMPÇÃO</v>
      </c>
    </row>
    <row r="49" spans="1:2" x14ac:dyDescent="0.3">
      <c r="A49" s="6" t="str">
        <v>RONALDO BRUNO DE SOUZA SANTOS</v>
      </c>
    </row>
    <row r="50" spans="1:2" x14ac:dyDescent="0.3">
      <c r="A50" s="6" t="str">
        <v>SAMUEL NUNES RIOS SILVA</v>
      </c>
    </row>
    <row r="51" spans="1:2" x14ac:dyDescent="0.3">
      <c r="A51" s="6" t="str">
        <v>SLAYNE FERNANDA NERES GOMES BRUM ARAUJO</v>
      </c>
    </row>
    <row r="52" spans="1:2" x14ac:dyDescent="0.3">
      <c r="A52" s="6" t="str">
        <v>STAEL MARLEI DE SOUZA E SILVA</v>
      </c>
      <c r="B52" s="8"/>
    </row>
    <row r="53" spans="1:2" x14ac:dyDescent="0.3">
      <c r="A53" s="6" t="str">
        <v>THIAGO DA SILVA CHISNANDES</v>
      </c>
    </row>
    <row r="54" spans="1:2" x14ac:dyDescent="0.3">
      <c r="A54" s="6" t="str">
        <v>TIAGO DANIEL DE SOUZA</v>
      </c>
    </row>
    <row r="55" spans="1:2" x14ac:dyDescent="0.3">
      <c r="A55" s="6" t="str">
        <v>ULISSES LEANDRO CARVALHO FERREIRA</v>
      </c>
    </row>
    <row r="56" spans="1:2" x14ac:dyDescent="0.3">
      <c r="A56" s="6" t="str">
        <v>VICTOR JOSE ALVES FERNANDES</v>
      </c>
    </row>
    <row r="57" spans="1:2" x14ac:dyDescent="0.3">
      <c r="A57" s="6" t="str">
        <v>WANDERSON LAGE</v>
      </c>
    </row>
    <row r="58" spans="1:2" x14ac:dyDescent="0.3">
      <c r="A58" s="6" t="str">
        <v>WELLYNGTON ALVES BORGES</v>
      </c>
    </row>
    <row r="59" spans="1:2" x14ac:dyDescent="0.3">
      <c r="A59" s="6"/>
    </row>
    <row r="60" spans="1:2" x14ac:dyDescent="0.3">
      <c r="A60" s="7"/>
    </row>
    <row r="61" spans="1:2" x14ac:dyDescent="0.3">
      <c r="A61" s="7"/>
    </row>
    <row r="62" spans="1:2" x14ac:dyDescent="0.3">
      <c r="A62" s="7"/>
    </row>
    <row r="63" spans="1:2" x14ac:dyDescent="0.3">
      <c r="A63" s="7"/>
    </row>
    <row r="64" spans="1:2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2026-03-25T18:09:56Z</dcterms:modified>
  <cp:category/>
  <cp:contentStatus/>
</cp:coreProperties>
</file>
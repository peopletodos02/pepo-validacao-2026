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312AF1FE-8452-4657-8771-3F7B6AC8E8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0" i="3" l="1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4" i="3"/>
  <c r="O155" i="3"/>
  <c r="O156" i="3"/>
  <c r="O151" i="3"/>
  <c r="O152" i="3"/>
  <c r="O153" i="3"/>
  <c r="O148" i="3"/>
  <c r="O149" i="3"/>
  <c r="O150" i="3"/>
  <c r="O145" i="3"/>
  <c r="O146" i="3"/>
  <c r="O147" i="3"/>
  <c r="O142" i="3"/>
  <c r="O143" i="3"/>
  <c r="O144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2" i="3"/>
  <c r="O123" i="3"/>
  <c r="O120" i="3"/>
  <c r="O121" i="3"/>
  <c r="O118" i="3"/>
  <c r="O119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8" i="3"/>
  <c r="O69" i="3"/>
  <c r="O66" i="3"/>
  <c r="O67" i="3"/>
  <c r="O64" i="3"/>
  <c r="O65" i="3"/>
  <c r="O62" i="3"/>
  <c r="O63" i="3"/>
  <c r="O60" i="3"/>
  <c r="O61" i="3"/>
  <c r="O58" i="3"/>
  <c r="O59" i="3"/>
  <c r="O56" i="3"/>
  <c r="O57" i="3"/>
  <c r="O54" i="3"/>
  <c r="O55" i="3"/>
  <c r="O52" i="3"/>
  <c r="O53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<sst xmlns="http://schemas.openxmlformats.org/spreadsheetml/2006/main" count="3926" uniqueCount="910">
  <si>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</si>
  <si>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</si>
  <si>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</si>
  <si>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</si>
  <si>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</si>
  <si>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</si>
  <si>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</si>
  <si>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</si>
  <si>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</si>
  <si>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</si>
  <si>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</si>
  <si>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</si>
  <si>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</si>
  <si>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</si>
  <si>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</si>
  <si>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</si>
  <si>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</si>
  <si>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</si>
  <si>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</si>
  <si>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</si>
  <si>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</si>
  <si>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</si>
  <si>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</si>
  <si>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</si>
  <si>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</si>
  <si>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</si>
  <si>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</si>
  <si>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</si>
  <si>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</si>
  <si>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</si>
  <si>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</si>
  <si>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</si>
  <si>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</si>
  <si>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</si>
  <si>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</si>
  <si>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</si>
  <si>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</si>
  <si>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</si>
  <si>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</si>
  <si>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</si>
  <si>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</si>
  <si>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</si>
  <si>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</si>
  <si>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</si>
  <si>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</si>
  <si>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</si>
  <si>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</si>
  <si>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</si>
  <si>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</si>
  <si>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</si>
  <si>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</si>
  <si>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</si>
  <si>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</si>
  <si>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</si>
  <si>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</si>
  <si>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</si>
  <si>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</si>
  <si>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</si>
  <si>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</si>
  <si>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</si>
  <si>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</si>
  <si>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</si>
  <si>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</si>
  <si>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</si>
  <si>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</si>
  <si>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</si>
  <si>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</si>
  <si>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</si>
  <si>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</si>
  <si>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</si>
  <si>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</si>
  <si>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</si>
  <si>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</si>
  <si>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</si>
  <si>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</si>
  <si>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</si>
  <si>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</si>
  <si>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</si>
  <si>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</si>
  <si>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</si>
  <si>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</si>
  <si>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</si>
  <si>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</si>
  <si>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</si>
  <si>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</si>
  <si>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</si>
  <si>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</si>
  <si>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</si>
  <si>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</si>
  <si>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</si>
  <si>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</si>
  <si>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</si>
  <si>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</si>
  <si>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</si>
  <si>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</si>
  <si>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</si>
  <si>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</si>
  <si>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</si>
  <si>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</si>
  <si>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</si>
  <si>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</si>
  <si>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</si>
  <si>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</si>
  <si>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</si>
  <si>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</si>
  <si>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</si>
  <si>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</si>
  <si>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</si>
  <si>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</si>
  <si>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</si>
  <si>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</si>
  <si>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</si>
  <si>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</si>
  <si>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</si>
  <si>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</si>
  <si>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</si>
  <si>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</si>
  <si>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</si>
  <si>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</si>
  <si>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</si>
  <si>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</si>
  <si>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</si>
  <si>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</si>
  <si>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</si>
  <si>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</si>
  <si>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</si>
  <si>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</si>
  <si>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</si>
  <si>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</si>
  <si>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</si>
  <si>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</si>
  <si>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</si>
  <si>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</si>
  <si>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</si>
  <si>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</si>
  <si>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</si>
  <si>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</si>
  <si>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</si>
  <si>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</si>
  <si>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</si>
  <si>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</si>
  <si>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</si>
  <si>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</si>
  <si>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</si>
  <si>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</si>
  <si>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</si>
  <si>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</si>
  <si>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</si>
  <si>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</si>
  <si>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</si>
  <si>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</si>
  <si>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</si>
  <si>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</si>
  <si>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</si>
  <si>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</si>
  <si>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</si>
  <si>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</si>
  <si>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</si>
  <si>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</si>
  <si>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</si>
  <si>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</si>
  <si>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</si>
  <si>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</si>
  <si>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</si>
  <si>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</si>
  <si>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</si>
  <si>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</si>
  <si>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</si>
  <si>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</si>
  <si>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</si>
  <si>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</si>
  <si>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</si>
  <si>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</si>
  <si>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</si>
  <si>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</si>
  <si>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</si>
  <si>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</si>
  <si>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</si>
  <si>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</si>
  <si>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</si>
  <si>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</si>
  <si>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</si>
  <si>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</si>
  <si>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</si>
  <si>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</si>
  <si>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</si>
  <si>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</si>
  <si>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</si>
  <si>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</si>
  <si>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</si>
  <si>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</si>
  <si>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</si>
  <si>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</si>
  <si>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</si>
  <si>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</si>
  <si>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</si>
  <si>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</si>
  <si>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</si>
  <si>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</si>
  <si>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</si>
  <si>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</si>
  <si>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</si>
  <si>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</si>
  <si>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</si>
  <si>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</si>
  <si>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</si>
  <si>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</si>
  <si>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</si>
  <si>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</si>
  <si>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</si>
  <si>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</si>
  <si>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</si>
  <si>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</si>
  <si>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</si>
  <si>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</si>
  <si>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</si>
  <si>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</si>
  <si>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</si>
  <si>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</si>
  <si>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</si>
  <si>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</si>
  <si>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</si>
  <si>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</si>
  <si>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</si>
  <si>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</si>
  <si>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</si>
  <si>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</si>
  <si>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</si>
  <si>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</si>
  <si>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</si>
  <si>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</si>
  <si>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</si>
  <si>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</si>
  <si>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</si>
  <si>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</si>
  <si>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</si>
  <si>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</si>
  <si>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</si>
  <si>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</si>
  <si>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</si>
  <si>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</si>
  <si>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</si>
  <si>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</si>
  <si>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</si>
  <si>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</si>
  <si>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</si>
  <si>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</si>
  <si>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</si>
  <si>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</si>
  <si>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</si>
  <si>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</si>
  <si>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</si>
  <si>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</si>
  <si>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</si>
  <si>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</si>
  <si>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</si>
  <si>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</si>
  <si>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</si>
  <si>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</si>
  <si>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</si>
  <si>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</si>
  <si>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</si>
  <si>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</si>
  <si>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</si>
  <si>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</si>
  <si>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</si>
  <si>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</si>
  <si>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</si>
  <si>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</si>
  <si>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</si>
  <si>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</si>
  <si>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</si>
  <si>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</si>
  <si>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</si>
  <si>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</si>
  <si>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</si>
  <si>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</si>
  <si>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</si>
  <si>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</si>
  <si>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</si>
  <si>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</si>
  <si>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</si>
  <si>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</si>
  <si>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</si>
  <si>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</si>
  <si>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</si>
  <si>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</si>
  <si>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</si>
  <si>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</si>
  <si>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</si>
  <si>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</si>
  <si>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</si>
  <si>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</si>
  <si>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</si>
  <si>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</si>
  <si>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</si>
  <si>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</si>
  <si>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</si>
  <si>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</si>
  <si>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</si>
  <si>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</si>
  <si>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</si>
  <si>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</si>
  <si>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</si>
  <si>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</si>
  <si>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</si>
  <si>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</si>
  <si>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</si>
  <si>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</si>
  <si>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</si>
  <si>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</si>
  <si>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</si>
  <si>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</si>
  <si>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</si>
  <si>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</si>
  <si>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</si>
  <si>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</si>
  <si>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</si>
  <si>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</si>
  <si>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</si>
  <si>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</si>
  <si>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</si>
  <si>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</si>
  <si>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</si>
  <si>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</si>
  <si>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</si>
  <si>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</si>
  <si>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</si>
  <si>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</si>
  <si>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</si>
  <si>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</si>
  <si>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</si>
  <si>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</si>
  <si>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</si>
  <si>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</si>
  <si>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</si>
  <si>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</si>
  <si>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</si>
  <si>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</si>
  <si>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</si>
  <si>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</si>
  <si>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</si>
  <si>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</si>
  <si>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</si>
  <si>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</si>
  <si>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</si>
  <si>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</si>
  <si>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</si>
  <si>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</si>
  <si>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</si>
  <si>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</si>
  <si>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</si>
  <si>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</si>
  <si>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</si>
  <si>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</si>
  <si>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</si>
  <si>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</si>
  <si>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</si>
  <si>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</si>
  <si>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</si>
  <si>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</si>
  <si>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</si>
  <si>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</si>
  <si>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</si>
  <si>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</si>
  <si>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</si>
  <si>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</si>
  <si>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</si>
  <si>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</si>
  <si>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</si>
  <si>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</si>
  <si>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</si>
  <si>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</si>
  <si>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</si>
  <si>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</si>
  <si>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</si>
  <si>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</si>
  <si>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</si>
  <si>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</si>
  <si>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</si>
  <si>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</si>
  <si>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</si>
  <si>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</si>
  <si>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</si>
  <si>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</si>
  <si>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</si>
  <si>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</si>
  <si>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</si>
  <si>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</si>
  <si>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</si>
  <si>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</si>
  <si>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</si>
  <si>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</si>
  <si>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</si>
  <si>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</si>
  <si>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</si>
  <si>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</si>
  <si>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</si>
  <si>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</si>
  <si>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</si>
  <si>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</si>
  <si>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</si>
  <si>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</si>
  <si>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</si>
  <si>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</si>
  <si>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</si>
  <si>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</si>
  <si>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</si>
  <si>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</si>
  <si>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</si>
  <si>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</si>
  <si>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</si>
  <si>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</si>
  <si>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</si>
  <si>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</si>
  <si>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</si>
  <si>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</si>
  <si>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</si>
  <si>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</si>
  <si>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</si>
  <si>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</si>
  <si>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</si>
  <si>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</si>
  <si>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</si>
  <si>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</si>
  <si>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</si>
  <si>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</si>
  <si>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</si>
  <si>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</si>
  <si>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</si>
  <si>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</si>
  <si>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</si>
  <si>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</si>
  <si>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</si>
  <si>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</si>
  <si>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</si>
  <si>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</si>
  <si>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</si>
  <si>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</si>
  <si>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</si>
  <si>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</si>
  <si>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</si>
  <si>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</si>
  <si>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</si>
  <si>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</si>
  <si>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</si>
  <si>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</si>
  <si>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</si>
  <si>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</si>
  <si>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</si>
  <si>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</si>
  <si>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</si>
  <si>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</si>
  <si>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</si>
  <si>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</si>
  <si>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</si>
  <si>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</si>
  <si>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</si>
  <si>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</si>
  <si>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</si>
  <si>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</si>
  <si>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</si>
  <si>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</si>
  <si>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</si>
  <si>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</si>
  <si>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</si>
  <si>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</si>
  <si>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</si>
  <si>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</si>
  <si>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</si>
  <si>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</si>
  <si>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</si>
  <si>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</si>
  <si>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</si>
  <si>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</si>
  <si>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</si>
  <si>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</si>
  <si>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</si>
  <si>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</si>
  <si>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</si>
  <si>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</si>
  <si>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</si>
  <si>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</si>
  <si>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</si>
  <si>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</si>
  <si>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</si>
  <si>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</si>
  <si>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</si>
  <si>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</si>
  <si>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</si>
  <si>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</si>
  <si>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</si>
  <si>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</si>
  <si>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</si>
  <si>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</si>
  <si>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</si>
  <si>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</si>
  <si>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</si>
  <si>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</si>
  <si>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</si>
  <si>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</si>
  <si>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</si>
  <si>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</si>
  <si>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</si>
  <si>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</si>
  <si>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</si>
  <si>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</si>
  <si>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</si>
  <si>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</si>
  <si>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</si>
  <si>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</si>
  <si>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</si>
  <si>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</si>
  <si>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</si>
  <si>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</si>
  <si>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</si>
  <si>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</si>
  <si>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</si>
  <si>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</si>
  <si>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</si>
  <si>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</si>
  <si>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</si>
  <si>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</si>
  <si>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</si>
  <si>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</si>
  <si>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</si>
  <si>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</si>
  <si>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</si>
  <si>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</si>
  <si>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</si>
  <si>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</si>
  <si>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</si>
  <si>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</si>
  <si>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</si>
  <si>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</si>
  <si>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</si>
  <si>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</si>
  <si>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</si>
  <si>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</si>
  <si>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</si>
  <si>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</si>
  <si>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</si>
  <si>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</si>
  <si>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</si>
  <si>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</si>
  <si>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</si>
  <si>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</si>
  <si>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</si>
  <si>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</si>
  <si>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</si>
  <si>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</si>
  <si>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</si>
  <si>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</si>
  <si>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</si>
  <si>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</si>
  <si>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</si>
  <si>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</si>
  <si>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</si>
  <si>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</si>
  <si>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</si>
  <si>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</si>
  <si>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</si>
  <si>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</si>
  <si>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</si>
  <si>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</si>
  <si>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</si>
  <si>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</si>
  <si>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</si>
  <si>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</si>
  <si>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</si>
  <si>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</si>
  <si>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</si>
  <si>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</si>
  <si>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</si>
  <si>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</si>
  <si>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</si>
  <si>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</si>
  <si>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</si>
  <si>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</si>
  <si>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</si>
  <si>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</si>
  <si>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</si>
  <si>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</si>
  <si>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</si>
  <si>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</si>
  <si>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</si>
  <si>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</si>
  <si>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</si>
  <si>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</si>
  <si>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</si>
  <si>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</si>
  <si>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</si>
  <si>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</si>
  <si>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</si>
  <si>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</si>
  <si>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</si>
  <si>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</si>
  <si>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</si>
  <si>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</si>
  <si>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</si>
  <si>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</si>
  <si>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</si>
  <si>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</si>
  <si>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</si>
  <si>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</si>
  <si>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</si>
  <si>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</si>
  <si>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</si>
  <si>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</si>
  <si>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</si>
  <si>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</si>
  <si>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</si>
  <si>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</si>
  <si>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</si>
  <si>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</si>
  <si>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</si>
  <si>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</si>
  <si>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</si>
  <si>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</si>
  <si>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</si>
  <si>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</si>
  <si>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</si>
  <si>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</si>
  <si>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</si>
  <si>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</si>
  <si>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</si>
  <si>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</si>
  <si>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</si>
  <si>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</si>
  <si>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</si>
  <si>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</si>
  <si>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</si>
  <si>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</si>
  <si>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</si>
  <si>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</si>
  <si>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</si>
  <si>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</si>
  <si>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</si>
  <si>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</si>
  <si>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</si>
  <si>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</si>
  <si>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</si>
  <si>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</si>
  <si>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</si>
  <si>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</si>
  <si>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</si>
  <si>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</si>
  <si>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</si>
  <si>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</si>
  <si>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</si>
  <si>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</si>
  <si>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</si>
  <si>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</si>
  <si>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</si>
  <si>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</si>
  <si>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</si>
  <si>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</si>
  <si>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</si>
  <si>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</si>
  <si>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</si>
  <si>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</si>
  <si>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</si>
  <si>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</si>
  <si>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</si>
  <si>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</si>
  <si>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</si>
  <si>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</si>
  <si>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</si>
  <si>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</si>
  <si>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</si>
  <si>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</si>
  <si>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</si>
  <si>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</si>
  <si>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</si>
  <si>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</si>
  <si>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</si>
  <si>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</si>
  <si>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</si>
  <si>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</si>
  <si>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</si>
  <si>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</si>
  <si>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</si>
  <si>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</si>
  <si>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</si>
  <si>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</si>
  <si>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</si>
  <si>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</si>
  <si>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</si>
  <si>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</si>
  <si>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</si>
  <si>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</si>
  <si>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</si>
  <si>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</si>
  <si>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</si>
  <si>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</si>
  <si>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</si>
  <si>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</si>
  <si>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</si>
  <si>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</si>
  <si>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</si>
  <si>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</si>
  <si>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</si>
  <si>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</si>
  <si>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</si>
  <si>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</si>
  <si>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</si>
  <si>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</si>
  <si>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</si>
  <si>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</si>
  <si>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</si>
  <si>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</si>
  <si>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</si>
  <si>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</si>
  <si>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</si>
  <si>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</si>
  <si>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</si>
  <si>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</si>
  <si>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</si>
  <si>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</si>
  <si>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</si>
  <si>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</si>
  <si>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</si>
  <si>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</si>
  <si>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</si>
  <si>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</si>
  <si>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</si>
  <si>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</si>
  <si>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</si>
  <si>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</si>
  <si>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</si>
  <si>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</si>
  <si>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</si>
  <si>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</si>
  <si>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</si>
  <si>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</si>
  <si>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</si>
  <si>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</si>
  <si>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</si>
  <si>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</si>
  <si>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</si>
  <si>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</si>
  <si>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</si>
  <si>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</si>
  <si>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</si>
  <si>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</si>
  <si>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</si>
  <si>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</si>
  <si>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</si>
  <si>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</si>
  <si>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</si>
  <si>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</si>
  <si>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</si>
  <si>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</si>
  <si>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</si>
  <si>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</si>
  <si>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</si>
  <si>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</si>
  <si>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</si>
  <si>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</si>
  <si>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</si>
  <si>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</si>
  <si>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</si>
  <si>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</si>
  <si>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</si>
  <si>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</si>
  <si>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</si>
  <si>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</si>
  <si>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</si>
  <si>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</si>
  <si>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</si>
  <si>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</si>
  <si>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</si>
  <si>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</si>
  <si>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</si>
  <si>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</si>
  <si>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</si>
  <si>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</si>
  <si>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</si>
  <si>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</si>
  <si>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</si>
  <si>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</si>
  <si>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</si>
  <si>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</si>
  <si>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</si>
  <si>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</si>
  <si>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</si>
  <si>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</si>
  <si>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</si>
  <si>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</si>
  <si>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</si>
  <si>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</si>
  <si>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</si>
  <si>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</si>
  <si>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</si>
  <si>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</si>
  <si>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</si>
  <si>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</si>
  <si>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</si>
  <si>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</si>
  <si>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</si>
  <si>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</si>
  <si>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</si>
  <si>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</si>
  <si>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</si>
  <si>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</si>
  <si>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</si>
  <si>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</si>
  <si>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</si>
  <si>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</si>
  <si>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</si>
  <si>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</si>
  <si>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</si>
  <si>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</si>
  <si>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</si>
  <si>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</si>
  <si>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</si>
  <si>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</si>
  <si>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</si>
  <si>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</si>
  <si>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</si>
  <si>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</si>
  <si>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</si>
  <si>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</si>
  <si>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</si>
  <si>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</si>
  <si>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</si>
  <si>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</si>
  <si>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</si>
  <si>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</si>
  <si>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</si>
  <si>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</si>
  <si>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</si>
  <si>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</si>
  <si>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</si>
  <si>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</si>
  <si>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</si>
  <si>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</si>
  <si>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</si>
  <si>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</si>
  <si>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</si>
  <si>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</si>
  <si>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</si>
  <si>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</si>
  <si>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</si>
  <si>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</si>
  <si>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</si>
  <si>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</si>
  <si>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</si>
  <si>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</si>
  <si>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</si>
  <si>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</si>
  <si>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</si>
  <si>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</si>
  <si>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</si>
  <si>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</si>
  <si>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</si>
  <si>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</si>
  <si>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</si>
  <si>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</si>
  <si>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</si>
  <si>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</si>
  <si>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</si>
  <si>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</si>
  <si>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</si>
  <si>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</si>
  <si>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</si>
  <si>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</si>
  <si>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</si>
  <si>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</si>
  <si>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</si>
  <si>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</si>
  <si>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</si>
  <si>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</si>
  <si>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</si>
  <si>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</si>
  <si>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>PEPO-202604011532</t>
  </si>
  <si>
    <t>PEPO-202604011551</t>
  </si>
  <si>
    <t>PEPO-202604011557</t>
  </si>
  <si>
    <t>PEPO-202604011714</t>
  </si>
  <si>
    <t>Não consegui incluir os segundos avaliadores para a Caroline (que tem o nível equivalente à coordenação) e para o Luiz (que pode ser um analista da nossa área)</t>
  </si>
  <si>
    <t>PEPO-202604011725</t>
  </si>
  <si>
    <t>----------</t>
  </si>
  <si>
    <t>PEPO-202604011728</t>
  </si>
  <si>
    <t>Todos os POs, P. Ops e UX/UI agora fazem parte do time de Operações, sendo que também pertencemos ao time de Produto. Não encontrei o departamento correspondente para selecionar.
Outro ponto é sobre os pares. Os UX/UI vão avaliar outros UX/UI e os P. Ops farão o mesmo com outros times? O documento ficou um pouco confuso nesse ponto.</t>
  </si>
  <si>
    <t>PEPO-202604020932</t>
  </si>
  <si>
    <t>PEPO-202604020943</t>
  </si>
  <si>
    <t>PEPO-202604021037</t>
  </si>
  <si>
    <t>PEPO-202604021717</t>
  </si>
  <si>
    <t>PEPO-202604071750</t>
  </si>
  <si>
    <t>PEPO-202604081705</t>
  </si>
  <si>
    <t>PEPO-202604081709</t>
  </si>
  <si>
    <t>PEPO-202604081712</t>
  </si>
  <si>
    <t>PEPO-202604081756</t>
  </si>
  <si>
    <t>PEPO-202604081907</t>
  </si>
  <si>
    <t>PEPO-202604090044</t>
  </si>
  <si>
    <t>O Colaborador Pedro Augusto Leão Lima não faz mais parte da equipe</t>
  </si>
  <si>
    <t>PEPO-202604090054</t>
  </si>
  <si>
    <t>PEPO-202604090831</t>
  </si>
  <si>
    <t>PEPO-202604091013</t>
  </si>
  <si>
    <t>PEPO-202604091037</t>
  </si>
  <si>
    <t>PEPO-202604091447</t>
  </si>
  <si>
    <t xml:space="preserve">Segue lista de colaboradores que não estão mais ligados diretamente o projeto CTN Global sob minha gestão. 
Projeto [Mini App] - Gestão de Ronaldo Bruno
 - Victor Maya
 - Matheus Santos
Projeto [CTN Brasil] - Gestão de Matheus Fachin
 - Degemar Pereira
 - Emerson Dantas
 - Felipe Pires
Projeto [Amor Saúde] - Gestão de Eduardo Valentim
 - Ariel Crivellaro
 - Alisson Luan
 - Maria Clara
 - Ricardo Felipe
 - Caio Teixeira
 - Moacir Bieleski
Projeto [Dados]
- Evandro Carlos 
Em aviso prévio
 - Juliana Maria </t>
  </si>
  <si>
    <t>PEPO-202604091722</t>
  </si>
  <si>
    <t>PEPO-202604091739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</si>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</sst>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24</c:v>
                </c:pt>
                <c:pt idx="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22.364577430555" createdVersion="8" refreshedVersion="8" minRefreshableVersion="3" recordCount="189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9-04T17:39:00"/>
    </cacheField>
    <cacheField name="Nome do Gestor" numFmtId="0">
      <sharedItems containsBlank="1" count="44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s v="CATERINE NUNES BARBOSA"/>
        <s v="LUCAS BICALHO DE FREITAS"/>
        <s v="BRAULIO PIOVEZANA RINCO"/>
        <s v="MAIARA SCHWENGBER CORREA"/>
        <s v="DENIS GABRIEL ABREU DE MELO"/>
        <s v="SAMUEL NUNES RIOS SILVA"/>
        <s v="GUSTAVO ARANDA DAMBROSKI"/>
        <s v="RENNAN VILAR GUIMARAES CASTRO ANTUNES"/>
        <s v="RICARDO ESTEVAO DE ALMEIDA"/>
        <s v="ANDRESSA RODRIGUES MORATO MAIA"/>
        <s v="BRUNNA KAROLINE QUEIROZ RODRIGUES"/>
        <s v="BRUNO NUNES DE SOUZA SANTOS"/>
        <s v="ANEDINA IZABEL DUARTE SOUZA"/>
        <s v="TIAGO DANIEL DE SOUZA"/>
        <s v="ELISANGELA PEDRO RODRIGUES OLIVEIRA"/>
        <s v="BRUNO CASTRO METZKER"/>
        <s v="ELISON GLAUBER DE CASTRO"/>
        <s v="HAYNA CARDOSO PINTO"/>
        <s v="LUCAS BUETTO DE ANGELIS"/>
        <s v="KETTULY FERNANDA ALVES DE AMORIM SANTIAGO"/>
        <s v="MATHEUS ARTHUR FACHIN"/>
        <s v="WELLYNGTON ALVES BORGES"/>
        <s v="RODNEY DUARTE DOS SANTOS"/>
        <s v="ANDRE NADDEO"/>
        <s v="LUIS FERNANDO KALIL ROSENBURG DE CASTRO"/>
        <m u="1"/>
        <s v="VANUZA DOS SANTOS PRESTES" u="1"/>
        <s v="CAMILA DA SILVA ANDRADE" u="1"/>
        <s v="AMANDA MIRANDA DE CARVALH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  <r>
    <d v="2026-01-04T15:32:00"/>
    <x v="12"/>
    <s v="CAIO DIAS EVANGELISTA"/>
    <m/>
    <s v="Sim"/>
    <m/>
    <s v="Sim"/>
    <m/>
    <s v="Sim"/>
    <m/>
    <s v="Não"/>
    <m/>
    <s v="MATHEUS PLAVIAK"/>
    <s v="MATEUS VITOR VIEIRA"/>
    <s v="SIM"/>
    <s v="PEPO-202604011532"/>
    <m/>
  </r>
  <r>
    <d v="2026-01-04T15:32:00"/>
    <x v="12"/>
    <s v="MATEUS VITOR VIEIRA"/>
    <m/>
    <s v="Sim"/>
    <m/>
    <s v="Sim"/>
    <m/>
    <s v="Sim"/>
    <m/>
    <s v="Não"/>
    <m/>
    <s v="JOAO VICTOR DE OLIVEIRA"/>
    <s v="CAIO DIAS EVANGELISTA"/>
    <s v="SIM"/>
    <s v="PEPO-202604011532"/>
    <m/>
  </r>
  <r>
    <d v="2026-01-04T15:32:00"/>
    <x v="12"/>
    <s v="MATHEUS PLAVIAK"/>
    <m/>
    <s v="Sim"/>
    <m/>
    <s v="Sim"/>
    <m/>
    <s v="Sim"/>
    <m/>
    <s v="Não"/>
    <m/>
    <s v="MATEUS VITOR VIEIRA"/>
    <s v="JOAO VICTOR DE OLIVEIRA"/>
    <s v="SIM"/>
    <s v="PEPO-202604011532"/>
    <m/>
  </r>
  <r>
    <d v="2026-01-04T15:32:00"/>
    <x v="12"/>
    <s v="JOAO VICTOR DE OLIVEIRA"/>
    <m/>
    <s v="Sim"/>
    <m/>
    <s v="Sim"/>
    <m/>
    <s v="Sim"/>
    <m/>
    <s v="Não"/>
    <m/>
    <s v="CAIO DIAS EVANGELISTA"/>
    <s v="MATHEUS PLAVIAK"/>
    <s v="SIM"/>
    <s v="PEPO-202604011532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7:14:00"/>
    <x v="15"/>
    <s v="CAMILA DA SILVA ANDRADE"/>
    <m/>
    <s v="Sim"/>
    <m/>
    <s v="Sim"/>
    <m/>
    <s v="Sim"/>
    <m/>
    <s v="Sim"/>
    <m/>
    <s v="NUBIA AQUINO DA SILVA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ELISANGELA PEDRO RODRIGUES OLIVEIRA"/>
    <m/>
    <s v="Sim"/>
    <m/>
    <s v="Sim"/>
    <m/>
    <s v="Sim"/>
    <m/>
    <s v="Sim"/>
    <m/>
    <s v="NUBIA AQUINO DA SILVA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NUBIA AQUINO DA SILVA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CAROLINE ANDRADE SANTOS BACELAR"/>
    <m/>
    <s v="Sim"/>
    <m/>
    <s v="Sim"/>
    <m/>
    <s v="Sim"/>
    <m/>
    <s v="Sim"/>
    <m/>
    <s v="LUIZ GUSTAVO GOMES CLEMENTE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LUIZ GUSTAVO GOMES CLEMENTE"/>
    <m/>
    <s v="Sim"/>
    <m/>
    <s v="Sim"/>
    <m/>
    <s v="Sim"/>
    <m/>
    <s v="Sim"/>
    <m/>
    <s v="CAROLINE ANDRADE SANTOS BACELAR"/>
    <s v="MICHELE CRISTINA DE SOUZA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IANA DE ALBUQUERQUE LOPES"/>
    <m/>
    <s v="Sim"/>
    <m/>
    <s v="Sim"/>
    <m/>
    <s v="Sim"/>
    <m/>
    <s v="Sim"/>
    <m/>
    <s v="MARCELA REGGIANI MORAES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BRAULIO PIOVEZANA RINCO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CELA REGGIANI MORAES"/>
    <m/>
    <s v="Sim"/>
    <m/>
    <s v="Sim"/>
    <m/>
    <s v="Sim"/>
    <m/>
    <s v="Sim"/>
    <m/>
    <s v="NUBIA AQUINO DA SILVA"/>
    <s v="MARIANA DE ALBUQUERQUE LOPES"/>
    <s v="SIM"/>
    <s v="PEPO-202604011714"/>
    <s v="Não consegui incluir os segundos avaliadores para a Caroline (que tem o nível equivalente à coordenação) e para o Luiz (que pode ser um analista da nossa área)"/>
  </r>
  <r>
    <d v="2026-01-04T17:25:00"/>
    <x v="16"/>
    <s v="JEFFERSON REBOUCAS RODRIGUES"/>
    <m/>
    <s v="Sim"/>
    <m/>
    <s v="Sim"/>
    <m/>
    <s v="Sim"/>
    <m/>
    <s v="Sim"/>
    <m/>
    <s v="RENATA MITSUE KARATO"/>
    <s v="PEDRO HENRIQUE ALVES LUZ"/>
    <s v="SIM"/>
    <s v="PEPO-202604011725"/>
    <m/>
  </r>
  <r>
    <d v="2026-01-04T17:25:00"/>
    <x v="16"/>
    <s v="GABRIEL ARAUJO FREITAS"/>
    <m/>
    <s v="Sim"/>
    <m/>
    <s v="Sim"/>
    <m/>
    <s v="Sim"/>
    <m/>
    <s v="Sim"/>
    <m/>
    <s v="THIAGO FARIAS DUTRA"/>
    <s v="PEDRO HENRIQUE ALVES LUZ"/>
    <s v="SIM"/>
    <s v="PEPO-202604011725"/>
    <m/>
  </r>
  <r>
    <d v="2026-01-04T17:25:00"/>
    <x v="16"/>
    <s v="PEDRO HENRIQUE ALVES LUZ"/>
    <m/>
    <s v="Sim"/>
    <m/>
    <s v="Sim"/>
    <m/>
    <s v="Sim"/>
    <m/>
    <s v="Sim"/>
    <m/>
    <s v="THIAGO FARIAS DUTRA"/>
    <s v="GABRIEL ARAUJO FREITAS"/>
    <s v="SIM"/>
    <s v="PEPO-202604011725"/>
    <m/>
  </r>
  <r>
    <d v="2026-01-04T17:25:00"/>
    <x v="16"/>
    <s v="RENATA MITSUE KARATO"/>
    <m/>
    <s v="Sim"/>
    <m/>
    <s v="Sim"/>
    <m/>
    <s v="Sim"/>
    <m/>
    <s v="Sim"/>
    <m/>
    <s v="CLARISSA CARLA XAVIER DA SILVA ROSA"/>
    <s v="JEFFERSON REBOUCAS RODRIGUES"/>
    <s v="SIM"/>
    <s v="PEPO-202604011725"/>
    <m/>
  </r>
  <r>
    <d v="2026-01-04T17:25:00"/>
    <x v="16"/>
    <s v="CLARISSA CARLA XAVIER DA SILVA ROSA"/>
    <m/>
    <s v="Sim"/>
    <m/>
    <s v="Sim"/>
    <m/>
    <s v="Sim"/>
    <m/>
    <s v="Sim"/>
    <m/>
    <s v="RENATA MITSUE KARATO"/>
    <s v="JEFFERSON REBOUCAS RODRIGUES"/>
    <s v="SIM"/>
    <s v="PEPO-202604011725"/>
    <m/>
  </r>
  <r>
    <d v="2026-01-04T17:25:00"/>
    <x v="16"/>
    <s v="THIAGO FARIAS DUTRA"/>
    <m/>
    <s v="Sim"/>
    <m/>
    <s v="Sim"/>
    <m/>
    <s v="Sim"/>
    <m/>
    <s v="Sim"/>
    <m/>
    <s v="GABRIEL ARAUJO FREITAS"/>
    <s v="PEDRO HENRIQUE ALVES LUZ"/>
    <s v="SIM"/>
    <s v="PEPO-202604011725"/>
    <m/>
  </r>
  <r>
    <d v="2026-01-04T17:28:00"/>
    <x v="17"/>
    <s v="THAIS HERINGER DA SILVA"/>
    <m/>
    <s v="Sim"/>
    <m/>
    <s v="Sim"/>
    <m/>
    <s v="Sim"/>
    <m/>
    <s v="Não"/>
    <m/>
    <s v="VICTOR ARAUJO PORTO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1-04T17:28:00"/>
    <x v="17"/>
    <s v="VICTOR ARAUJO PORTO"/>
    <m/>
    <s v="Sim"/>
    <m/>
    <s v="Sim"/>
    <m/>
    <s v="Sim"/>
    <m/>
    <s v="Não"/>
    <m/>
    <s v="THAIS HERINGER DA SILVA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2-04T09:32:00"/>
    <x v="18"/>
    <s v="EMANUELLY ASSUERIA BEZERRA MARTINS"/>
    <m/>
    <s v="Sim"/>
    <m/>
    <s v="Sim"/>
    <m/>
    <s v="Sim"/>
    <m/>
    <s v="Sim"/>
    <m/>
    <s v="LEANDRO CORREA"/>
    <s v="THAIS HERINGER DA SILVA"/>
    <s v="SIM"/>
    <s v="PEPO-202604020932"/>
    <m/>
  </r>
  <r>
    <d v="2026-02-04T09:43:00"/>
    <x v="19"/>
    <s v="MAIARA SCHWENGBER CORREA"/>
    <m/>
    <s v="Sim"/>
    <m/>
    <s v="Sim"/>
    <m/>
    <s v="Sim"/>
    <m/>
    <s v="Sim"/>
    <m/>
    <s v="LORRAYNE CRISTINE THEZA DO CARMO"/>
    <s v="ALINE DE GOES CAMARGO"/>
    <s v="SIM"/>
    <s v="PEPO-202604020943"/>
    <m/>
  </r>
  <r>
    <d v="2026-02-04T10:37:00"/>
    <x v="20"/>
    <s v="JEZI FERNANDO OLIVEIRA"/>
    <m/>
    <s v="Sim"/>
    <m/>
    <s v="Sim"/>
    <m/>
    <s v="Sim"/>
    <m/>
    <s v="Sim"/>
    <m/>
    <s v="LORRAYNE CRISTINE THEZA DO CARMO"/>
    <s v="MAIARA SCHWENGBER CORREA"/>
    <s v="SIM"/>
    <s v="PEPO-202604021037"/>
    <m/>
  </r>
  <r>
    <d v="2026-02-04T10:37:00"/>
    <x v="20"/>
    <s v="LORRAYNE CRISTINE THEZA DO CARMO"/>
    <m/>
    <s v="Sim"/>
    <m/>
    <s v="Sim"/>
    <m/>
    <s v="Sim"/>
    <m/>
    <s v="Sim"/>
    <m/>
    <s v="JEZI FERNANDO OLIVEIRA"/>
    <s v="LUIS FERNANDO KALIL ROSENBURG DE CASTRO"/>
    <s v="SIM"/>
    <s v="PEPO-202604021037"/>
    <m/>
  </r>
  <r>
    <d v="2026-02-04T17:17:00"/>
    <x v="21"/>
    <s v="SARAH NASCIMENTO BICALHO"/>
    <m/>
    <s v="Sim"/>
    <m/>
    <s v="Sim"/>
    <m/>
    <s v="Sim"/>
    <m/>
    <s v="Sim"/>
    <m/>
    <s v="LUIZ FERNANDO FRANÇA DOS SANTOS"/>
    <s v="RAFAEL MACHADO GOMES DE BARROS"/>
    <s v="SIM"/>
    <s v="PEPO-202604021717"/>
    <m/>
  </r>
  <r>
    <d v="2026-02-04T17:17:00"/>
    <x v="21"/>
    <s v="TAYENE RIBEIRO E SILVA"/>
    <m/>
    <s v="Sim"/>
    <m/>
    <s v="Sim"/>
    <m/>
    <s v="Sim"/>
    <m/>
    <s v="Sim"/>
    <m/>
    <s v="SARAH NASCIMENTO BICALHO"/>
    <s v="RAFAEL MACHADO GOMES DE BARROS"/>
    <s v="SIM"/>
    <s v="PEPO-202604021717"/>
    <m/>
  </r>
  <r>
    <d v="2026-02-04T17:17:00"/>
    <x v="21"/>
    <s v="RAFAEL MACHADO GOMES DE BARROS"/>
    <m/>
    <s v="Sim"/>
    <m/>
    <s v="Sim"/>
    <m/>
    <s v="Sim"/>
    <m/>
    <s v="Sim"/>
    <m/>
    <s v="SARAH NASCIMENTO BICALHO"/>
    <s v="LUIZ FERNANDO FRANÇA DOS SANTOS"/>
    <s v="SIM"/>
    <s v="PEPO-202604021717"/>
    <m/>
  </r>
  <r>
    <d v="2026-02-04T17:17:00"/>
    <x v="21"/>
    <s v="LUIZ FERNANDO FRANÇA DOS SANTOS"/>
    <m/>
    <s v="Sim"/>
    <m/>
    <s v="Sim"/>
    <m/>
    <s v="Sim"/>
    <m/>
    <s v="Sim"/>
    <m/>
    <s v="RAFAEL MACHADO GOMES DE BARROS"/>
    <s v="SARAH NASCIMENTO BICALHO"/>
    <s v="SIM"/>
    <s v="PEPO-202604021717"/>
    <m/>
  </r>
  <r>
    <d v="2026-02-04T17:17:00"/>
    <x v="21"/>
    <s v="CRISTIAN COSTA FERREIRA CAUS"/>
    <m/>
    <s v="Sim"/>
    <m/>
    <s v="Sim"/>
    <m/>
    <s v="Sim"/>
    <m/>
    <s v="Sim"/>
    <m/>
    <s v="NAYARA ROSA RODRIGUES"/>
    <s v="PABLO RODRIGUES LELES COSTA"/>
    <s v="SIM"/>
    <s v="PEPO-202604021717"/>
    <m/>
  </r>
  <r>
    <d v="2026-02-04T17:17:00"/>
    <x v="21"/>
    <s v="LUIZA GOMES FERREIRA"/>
    <m/>
    <s v="Sim"/>
    <m/>
    <s v="Sim"/>
    <m/>
    <s v="Sim"/>
    <m/>
    <s v="Sim"/>
    <m/>
    <s v="PABLO RODRIGUES LELES COSTA"/>
    <s v="CRISTIAN COSTA FERREIRA CAUS"/>
    <s v="SIM"/>
    <s v="PEPO-202604021717"/>
    <m/>
  </r>
  <r>
    <d v="2026-02-04T17:17:00"/>
    <x v="21"/>
    <s v="NAYARA ROSA RODRIGUES"/>
    <m/>
    <s v="Sim"/>
    <m/>
    <s v="Sim"/>
    <m/>
    <s v="Sim"/>
    <m/>
    <s v="Sim"/>
    <m/>
    <s v="LUIZA GOMES FERREIRA"/>
    <s v="CRISTIAN COSTA FERREIRA CAUS"/>
    <s v="SIM"/>
    <s v="PEPO-202604021717"/>
    <m/>
  </r>
  <r>
    <d v="2026-02-04T17:17:00"/>
    <x v="21"/>
    <s v="PABLO RODRIGUES LELES COSTA"/>
    <m/>
    <s v="Sim"/>
    <m/>
    <s v="Sim"/>
    <m/>
    <s v="Sim"/>
    <m/>
    <s v="Sim"/>
    <m/>
    <s v="THAÍS APARECIDA DE ARAÚJO"/>
    <s v="NAYARA ROSA RODRIGUES"/>
    <s v="SIM"/>
    <s v="PEPO-202604021717"/>
    <m/>
  </r>
  <r>
    <d v="2026-02-04T17:17:00"/>
    <x v="21"/>
    <s v="THAÍS APARECIDA DE ARAÚJO"/>
    <m/>
    <s v="Sim"/>
    <m/>
    <s v="Sim"/>
    <m/>
    <s v="Sim"/>
    <m/>
    <s v="Sim"/>
    <m/>
    <s v="LUIZA GOMES FERREIRA"/>
    <s v="PABLO RODRIGUES LELES COSTA"/>
    <s v="SIM"/>
    <s v="PEPO-202604021717"/>
    <m/>
  </r>
  <r>
    <d v="2026-07-04T17:50:00"/>
    <x v="22"/>
    <s v="JENNIFER CRISTINA FERREIRA DE SOUZA"/>
    <m/>
    <s v="Sim"/>
    <m/>
    <s v="Sim"/>
    <m/>
    <s v="Sim"/>
    <m/>
    <s v="Sim"/>
    <m/>
    <s v="DANIELA NOBRE MIGUEL"/>
    <s v="BRENDA ALINE PROCOPIO SILVA"/>
    <s v="SIM"/>
    <s v="PEPO-202604071750"/>
    <m/>
  </r>
  <r>
    <d v="2026-07-04T17:50:00"/>
    <x v="22"/>
    <s v="NATHALIA LAISSA LACERDA LOURDES"/>
    <m/>
    <s v="Sim"/>
    <m/>
    <s v="Sim"/>
    <m/>
    <s v="Sim"/>
    <m/>
    <s v="Sim"/>
    <m/>
    <s v="DANIELA NOBRE MIGUEL"/>
    <s v="THAYS CHRISTINE DOS SANTOS ASSIS MOTA"/>
    <s v="SIM"/>
    <s v="PEPO-202604071750"/>
    <m/>
  </r>
  <r>
    <d v="2026-07-04T17:50:00"/>
    <x v="22"/>
    <s v="THAYS CHRISTINE DOS SANTOS ASSIS MOTA"/>
    <m/>
    <s v="Sim"/>
    <m/>
    <s v="Sim"/>
    <m/>
    <s v="Sim"/>
    <m/>
    <s v="Sim"/>
    <m/>
    <s v="BRENDA ALINE PROCOPIO SILVA"/>
    <s v="NATHALIA LAISSA LACERDA LOURDES"/>
    <s v="SIM"/>
    <s v="PEPO-202604071750"/>
    <m/>
  </r>
  <r>
    <d v="2026-07-04T17:50:00"/>
    <x v="22"/>
    <s v="DANIELA NOBRE MIGUEL"/>
    <m/>
    <s v="Sim"/>
    <m/>
    <s v="Sim"/>
    <m/>
    <s v="Sim"/>
    <m/>
    <s v="Sim"/>
    <m/>
    <s v="NATHALIA LAISSA LACERDA LOURDES"/>
    <s v="JENNIFER CRISTINA FERREIRA DE SOUZA"/>
    <s v="SIM"/>
    <s v="PEPO-202604071750"/>
    <m/>
  </r>
  <r>
    <d v="2026-07-04T17:50:00"/>
    <x v="22"/>
    <s v="BIANCA DE MELO CARVALHO"/>
    <m/>
    <s v="Sim"/>
    <m/>
    <s v="Sim"/>
    <m/>
    <s v="Sim"/>
    <m/>
    <s v="Sim"/>
    <m/>
    <s v="RENATA ALVARENGA DA SILVA STOCLER"/>
    <s v="YASMIN FAVARO ROCHA"/>
    <s v="SIM"/>
    <s v="PEPO-202604071750"/>
    <m/>
  </r>
  <r>
    <d v="2026-07-04T17:50:00"/>
    <x v="22"/>
    <s v="RENATA ALVARENGA DA SILVA STOCLER"/>
    <m/>
    <s v="Sim"/>
    <m/>
    <s v="Sim"/>
    <m/>
    <s v="Sim"/>
    <m/>
    <s v="Sim"/>
    <m/>
    <s v="BIANCA DE MELO CARVALHO"/>
    <s v="DANIELA NOBRE MIGUEL"/>
    <s v="SIM"/>
    <s v="PEPO-202604071750"/>
    <m/>
  </r>
  <r>
    <d v="2026-07-04T17:50:00"/>
    <x v="22"/>
    <s v="BRENDA ALINE PROCOPIO SILVA"/>
    <m/>
    <s v="Sim"/>
    <m/>
    <s v="Sim"/>
    <m/>
    <s v="Sim"/>
    <m/>
    <s v="Sim"/>
    <m/>
    <s v="JENNIFER CRISTINA FERREIRA DE SOUZA"/>
    <s v="THAYS CHRISTINE DOS SANTOS ASSIS MOTA"/>
    <s v="SIM"/>
    <s v="PEPO-202604071750"/>
    <m/>
  </r>
  <r>
    <d v="2026-07-04T17:50:00"/>
    <x v="22"/>
    <s v="YASMIN FAVARO ROCHA"/>
    <m/>
    <s v="Sim"/>
    <m/>
    <s v="Sim"/>
    <m/>
    <s v="Sim"/>
    <m/>
    <s v="Sim"/>
    <m/>
    <s v="RENATA ALVARENGA DA SILVA STOCLER"/>
    <s v="GUSTAVO ELIAS ALMEIDA SILVA"/>
    <s v="SIM"/>
    <s v="PEPO-202604071750"/>
    <m/>
  </r>
  <r>
    <d v="2026-07-04T17:50:00"/>
    <x v="22"/>
    <s v="GUSTAVO ELIAS ALMEIDA SILVA"/>
    <m/>
    <s v="Sim"/>
    <m/>
    <s v="Sim"/>
    <m/>
    <s v="Sim"/>
    <m/>
    <s v="Sim"/>
    <m/>
    <s v="BIANCA DE MELO CARVALHO"/>
    <s v="YASMIN FAVARO ROCHA"/>
    <s v="SIM"/>
    <s v="PEPO-202604071750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9:00"/>
    <x v="24"/>
    <s v="HENRIQUE VENANCIO DE SOUZA"/>
    <m/>
    <s v="Sim"/>
    <m/>
    <s v="Sim"/>
    <m/>
    <s v="Sim"/>
    <m/>
    <s v="Sim"/>
    <m/>
    <s v="SUELEN CRISTINA GONCALVES"/>
    <s v="ALEX SILVA ESTEBANEZ"/>
    <s v="SIM"/>
    <s v="PEPO-202604081709"/>
    <m/>
  </r>
  <r>
    <d v="2026-08-04T17:09:00"/>
    <x v="24"/>
    <s v="ALEX SILVA ESTEBANEZ"/>
    <m/>
    <s v="Sim"/>
    <m/>
    <s v="Sim"/>
    <m/>
    <s v="Sim"/>
    <m/>
    <s v="Sim"/>
    <m/>
    <s v="SUELEN CRISTINA GONCALVES"/>
    <s v="HENRIQUE VENANCIO DE SOUZA"/>
    <s v="SIM"/>
    <s v="PEPO-202604081709"/>
    <m/>
  </r>
  <r>
    <d v="2026-08-04T17:09:00"/>
    <x v="24"/>
    <s v="SUELEN CRISTINA GONCALVES"/>
    <m/>
    <s v="Sim"/>
    <m/>
    <s v="Sim"/>
    <m/>
    <s v="Sim"/>
    <m/>
    <s v="Sim"/>
    <m/>
    <s v="ALEX SILVA ESTEBANEZ"/>
    <s v="HENRIQUE VENANCIO DE SOUZA"/>
    <s v="SIM"/>
    <s v="PEPO-202604081709"/>
    <m/>
  </r>
  <r>
    <d v="2026-08-04T17:12:00"/>
    <x v="25"/>
    <s v="DENIS SIQUEIRA MOUR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12:00"/>
    <x v="25"/>
    <s v="TAILY PEREIRA DE CARVALHO"/>
    <m/>
    <s v="Sim"/>
    <m/>
    <s v="Sim"/>
    <m/>
    <s v="Sim"/>
    <m/>
    <s v="Sim"/>
    <m/>
    <s v="DENIS SIQUEIRA MOURA"/>
    <s v="TAMARA FERNANDA DE AZEVEDO BARBOSA"/>
    <s v="SIM"/>
    <s v="PEPO-202604081712"/>
    <m/>
  </r>
  <r>
    <d v="2026-08-04T17:12:00"/>
    <x v="25"/>
    <s v="NADABY HAUANE DOURADO DE OLIVEIRA"/>
    <m/>
    <s v="Sim"/>
    <m/>
    <s v="Sim"/>
    <m/>
    <s v="Sim"/>
    <m/>
    <s v="Sim"/>
    <m/>
    <s v="DENIS SIQUEIRA MOURA"/>
    <s v="TAILY PEREIRA DE CARVALHO"/>
    <s v="SIM"/>
    <s v="PEPO-202604081712"/>
    <m/>
  </r>
  <r>
    <d v="2026-08-04T17:12:00"/>
    <x v="25"/>
    <s v="RAFAELA MOTA MEIRELES DO NASCIMENTO"/>
    <m/>
    <s v="Sim"/>
    <m/>
    <s v="Sim"/>
    <m/>
    <s v="Sim"/>
    <m/>
    <s v="Sim"/>
    <m/>
    <s v="TAMARA FERNANDA DE AZEVEDO BARBOSA"/>
    <s v="DENIS SIQUEIRA MOURA"/>
    <s v="SIM"/>
    <s v="PEPO-202604081712"/>
    <m/>
  </r>
  <r>
    <d v="2026-08-04T17:12:00"/>
    <x v="25"/>
    <s v="TAMARA FERNANDA DE AZEVEDO BARBOS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56:00"/>
    <x v="26"/>
    <s v="NATALIA XAVIER REIS"/>
    <m/>
    <s v="Sim"/>
    <m/>
    <s v="Sim"/>
    <m/>
    <s v="Sim"/>
    <m/>
    <s v="Sim"/>
    <m/>
    <s v="STHEFANIE KEROLYN TOMAZ DE ALMEIDA"/>
    <s v="ANA BEATRIZ DA SILVA COSTA"/>
    <s v="SIM"/>
    <s v="PEPO-202604081756"/>
    <m/>
  </r>
  <r>
    <d v="2026-08-04T17:56:00"/>
    <x v="26"/>
    <s v="STHEFANIE KEROLYN TOMAZ DE ALMEIDA"/>
    <m/>
    <s v="Sim"/>
    <m/>
    <s v="Sim"/>
    <m/>
    <s v="Sim"/>
    <m/>
    <s v="Sim"/>
    <m/>
    <s v="NATALIA XAVIER REIS"/>
    <s v="GABRIELA ARAUJO DE SOUZA"/>
    <s v="SIM"/>
    <s v="PEPO-202604081756"/>
    <m/>
  </r>
  <r>
    <d v="2026-08-04T19:07:00"/>
    <x v="27"/>
    <s v="FLAVIO HENRIQUE ALMEIDA FERREIRA DE MELO"/>
    <m/>
    <s v="Sim"/>
    <m/>
    <s v="Sim"/>
    <m/>
    <s v="Sim"/>
    <m/>
    <s v="Sim"/>
    <m/>
    <s v="ALEX ALVARES PIMENTEL MACIEL"/>
    <s v="LUÍS HENRIQUE SOARES DUTRA DE ANDRADE"/>
    <s v="SIM"/>
    <s v="PEPO-202604081907"/>
    <m/>
  </r>
  <r>
    <d v="2026-09-04T00:44:00"/>
    <x v="28"/>
    <s v="LIVIA CRISTINE DE OLIVEIRA"/>
    <m/>
    <s v="Sim"/>
    <m/>
    <s v="Sim"/>
    <m/>
    <s v="Sim"/>
    <m/>
    <s v="Sim"/>
    <m/>
    <s v="RICARDO VITAL MARTINS TORRES"/>
    <s v="PEDRO AUGUSTO LEAO LIMA"/>
    <s v="SIM"/>
    <s v="PEPO-202604090044"/>
    <s v="O Colaborador Pedro Augusto Leão Lima não faz mais parte da equipe"/>
  </r>
  <r>
    <d v="2026-09-04T00:44:00"/>
    <x v="28"/>
    <s v="RICARDO VITAL MARTINS TORRES"/>
    <m/>
    <s v="Sim"/>
    <m/>
    <s v="Sim"/>
    <m/>
    <s v="Sim"/>
    <m/>
    <s v="Sim"/>
    <m/>
    <s v="LIVIA CRISTINE DE OLIVEIRA"/>
    <s v="PEDRO AUGUSTO LEAO LIMA"/>
    <s v="SIM"/>
    <s v="PEPO-202604090044"/>
    <s v="O Colaborador Pedro Augusto Leão Lima não faz mais parte da equipe"/>
  </r>
  <r>
    <d v="2026-09-04T00:44:00"/>
    <x v="28"/>
    <s v="PEDRO AUGUSTO LEAO LIMA"/>
    <m/>
    <s v="Sim"/>
    <m/>
    <s v="Sim"/>
    <m/>
    <s v="Sim"/>
    <m/>
    <s v="Sim"/>
    <m/>
    <s v="RICARDO VITAL MARTINS TORRES"/>
    <s v="LIVIA CRISTINE DE OLIVEIRA"/>
    <s v="SIM"/>
    <s v="PEPO-202604090044"/>
    <s v="O Colaborador Pedro Augusto Leão Lima não faz mais parte da equipe"/>
  </r>
  <r>
    <d v="2026-09-04T00:54:00"/>
    <x v="29"/>
    <s v="TIAGO PEREIRA DO NASCIMENTO"/>
    <m/>
    <s v="Sim"/>
    <m/>
    <s v="Sim"/>
    <m/>
    <s v="Sim"/>
    <m/>
    <s v="Sim"/>
    <m/>
    <s v="VINICIUS NASCIMENTO"/>
    <s v="VITOR ZARETZKI DE SOUZA"/>
    <s v="SIM"/>
    <s v="PEPO-202604090054"/>
    <m/>
  </r>
  <r>
    <d v="2026-09-04T00:54:00"/>
    <x v="29"/>
    <s v="VINICIUS NASCIMENTO"/>
    <m/>
    <s v="Sim"/>
    <m/>
    <s v="Sim"/>
    <m/>
    <s v="Sim"/>
    <m/>
    <s v="Sim"/>
    <m/>
    <s v="TIAGO PEREIRA DO NASCIMENTO"/>
    <s v="VITOR ZARETZKI DE SOUZA"/>
    <s v="SIM"/>
    <s v="PEPO-202604090054"/>
    <m/>
  </r>
  <r>
    <d v="2026-09-04T08:31:00"/>
    <x v="30"/>
    <s v="THIAGO DA PAZ SANTOS JUNIOR"/>
    <m/>
    <s v="Sim"/>
    <m/>
    <s v="Sim"/>
    <m/>
    <s v="Sim"/>
    <m/>
    <s v="Sim"/>
    <m/>
    <s v="NICOLE EMILY FERREIRA DE LIMA"/>
    <s v="VICTOR MAYA NASCIMENTO ALMEIDA"/>
    <s v="SIM"/>
    <s v="PEPO-202604090831"/>
    <m/>
  </r>
  <r>
    <d v="2026-09-04T08:31:00"/>
    <x v="30"/>
    <s v="NICOLE EMILY FERREIRA DE LIMA"/>
    <m/>
    <s v="Sim"/>
    <m/>
    <s v="Sim"/>
    <m/>
    <s v="Sim"/>
    <m/>
    <s v="Sim"/>
    <m/>
    <s v="THIAGO DA PAZ SANTOS JUNIOR"/>
    <s v="FREDERICO FERREIRA ARAUJO"/>
    <s v="SIM"/>
    <s v="PEPO-202604090831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37:00"/>
    <x v="32"/>
    <s v="EDUARDO KRAMER LAGUN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GIOVANE AIRTON TIMM"/>
    <m/>
    <s v="Sim"/>
    <m/>
    <s v="Sim"/>
    <m/>
    <s v="Sim"/>
    <m/>
    <s v="Sim"/>
    <m/>
    <s v="EDUARDO KRAMER LAGUNA"/>
    <s v="FELIPE SILVA SANTANA DOS SANTOS"/>
    <s v="SIM"/>
    <s v="PEPO-202604091037"/>
    <m/>
  </r>
  <r>
    <d v="2026-09-04T10:37:00"/>
    <x v="32"/>
    <s v="LUCAS EDUARDO MOCELIN"/>
    <m/>
    <s v="Sim"/>
    <m/>
    <s v="Sim"/>
    <m/>
    <s v="Sim"/>
    <m/>
    <s v="Sim"/>
    <m/>
    <s v="EDUARDO KRAMER LAGUNA"/>
    <s v="PAOLA JULIE DOS SANTOS DA SILVA"/>
    <s v="SIM"/>
    <s v="PEPO-202604091037"/>
    <m/>
  </r>
  <r>
    <d v="2026-09-04T10:37:00"/>
    <x v="32"/>
    <s v="MATEUS HENRIQUE CAVALCANTE"/>
    <m/>
    <s v="Sim"/>
    <m/>
    <s v="Sim"/>
    <m/>
    <s v="Sim"/>
    <m/>
    <s v="Sim"/>
    <m/>
    <s v="WILLIAN MITSUO HISSAMURA ABE"/>
    <s v="SERGIO LUIZ PACHECO"/>
    <s v="SIM"/>
    <s v="PEPO-202604091037"/>
    <m/>
  </r>
  <r>
    <d v="2026-09-04T10:37:00"/>
    <x v="32"/>
    <s v="PAOLA JULIE DOS SANTOS DA SILV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WILLIAN MITSUO HISSAMURA ABE"/>
    <m/>
    <s v="Sim"/>
    <m/>
    <s v="Sim"/>
    <m/>
    <s v="Sim"/>
    <m/>
    <s v="Sim"/>
    <m/>
    <s v="RICARDO AKIO JURACH FUKUI"/>
    <s v="EDUARDO KRAMER LAGUNA"/>
    <s v="SIM"/>
    <s v="PEPO-202604091037"/>
    <m/>
  </r>
  <r>
    <d v="2026-09-04T10:37:00"/>
    <x v="32"/>
    <s v="LARISSA SANTOS LIMA"/>
    <m/>
    <s v="Sim"/>
    <m/>
    <s v="Sim"/>
    <m/>
    <s v="Sim"/>
    <m/>
    <s v="Sim"/>
    <m/>
    <s v="FREDERICO FERREIRA ARAUJO"/>
    <s v="SERGIO LUIZ PACHECO"/>
    <s v="SIM"/>
    <s v="PEPO-202604091037"/>
    <m/>
  </r>
  <r>
    <d v="2026-09-04T10:37:00"/>
    <x v="32"/>
    <s v="SERGIO LUIZ PACHECO"/>
    <m/>
    <s v="Sim"/>
    <m/>
    <s v="Sim"/>
    <m/>
    <s v="Sim"/>
    <m/>
    <s v="Sim"/>
    <m/>
    <s v="PAOLA JULIE DOS SANTOS DA SILVA"/>
    <s v="EDUARDO KRAMER LAGUNA"/>
    <s v="SIM"/>
    <s v="PEPO-202604091037"/>
    <m/>
  </r>
  <r>
    <d v="2026-09-04T10:37:00"/>
    <x v="32"/>
    <s v="FREDERICO FERREIRA ARAUJO"/>
    <m/>
    <s v="Sim"/>
    <m/>
    <s v="Sim"/>
    <m/>
    <s v="Sim"/>
    <m/>
    <s v="Sim"/>
    <m/>
    <s v="LARISSA SANTOS LIMA"/>
    <s v="SERGIO LUIZ PACHECO"/>
    <s v="SIM"/>
    <s v="PEPO-202604091037"/>
    <m/>
  </r>
  <r>
    <d v="2026-09-04T10:37:00"/>
    <x v="32"/>
    <s v="RICARDO AKIO JURACH FUKUI"/>
    <m/>
    <s v="Sim"/>
    <m/>
    <s v="Sim"/>
    <m/>
    <s v="Sim"/>
    <m/>
    <s v="Sim"/>
    <m/>
    <s v="MATEUS HENRIQUE CAVALCANTE"/>
    <s v="WILLIAN MITSUO HISSAMURA ABE"/>
    <s v="SIM"/>
    <s v="PEPO-202604091037"/>
    <m/>
  </r>
  <r>
    <d v="2026-09-04T10:37:00"/>
    <x v="32"/>
    <s v="FELIPE SILVA SANTANA DOS SANTOS"/>
    <m/>
    <s v="Sim"/>
    <m/>
    <s v="Sim"/>
    <m/>
    <s v="Sim"/>
    <m/>
    <s v="Sim"/>
    <m/>
    <s v="LUCAS EDUARDO MOCELIN"/>
    <s v="SERGIO LUIZ PACHECO"/>
    <s v="SIM"/>
    <s v="PEPO-202604091037"/>
    <m/>
  </r>
  <r>
    <d v="2026-09-04T14:47:00"/>
    <x v="33"/>
    <s v="CAIO TEIXEIRA DE ARAUJO"/>
    <m/>
    <s v="Sim"/>
    <m/>
    <s v="Sim"/>
    <m/>
    <s v="Sim"/>
    <m/>
    <s v="Sim"/>
    <m/>
    <s v="GIORDANO BRUNO BORGES BRAZ DA SILVA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DEGEMAR PEREIRA DA SILVA"/>
    <m/>
    <s v="Não"/>
    <s v="MATHEUS ARTHUR FACHIN"/>
    <s v="Sim"/>
    <m/>
    <s v="Sim"/>
    <m/>
    <s v="Não"/>
    <m/>
    <s v="EMERSON DANTAS PEREIRA"/>
    <s v="FELIPE PIRES SOAR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RIA CLARA SOUSA NEGRÃO"/>
    <m/>
    <s v="Sim"/>
    <m/>
    <s v="Sim"/>
    <m/>
    <s v="Sim"/>
    <m/>
    <s v="Sim"/>
    <m/>
    <s v="ALISSON LUAN DA SILVA"/>
    <s v="ARIEL CRIVELLARO MARTIN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BARBARA CARDOSO DULTRA"/>
    <m/>
    <s v="Sim"/>
    <m/>
    <s v="Sim"/>
    <m/>
    <s v="Sim"/>
    <m/>
    <s v="Sim"/>
    <m/>
    <s v="GIORDANO BRUNO BORGES BRAZ DA SILVA"/>
    <s v="FELIPE VILELLA DE OLIVEIRA ALV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VILELLA DE OLIVEIRA ALVES"/>
    <m/>
    <s v="Sim"/>
    <m/>
    <s v="Sim"/>
    <m/>
    <s v="Sim"/>
    <m/>
    <s v="Sim"/>
    <m/>
    <s v="ARTHUR FREITAS CESARINO DOS SANTOS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GIORDANO BRUNO BORGES BRAZ DA SILVA"/>
    <m/>
    <s v="Sim"/>
    <m/>
    <s v="Sim"/>
    <m/>
    <s v="Sim"/>
    <m/>
    <s v="Sim"/>
    <m/>
    <s v="BARBARA CARDOSO DULTRA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THEUS SANTOS PEREIRA"/>
    <m/>
    <s v="Não"/>
    <s v="RONALDO BRUNO DE SOUZA SANTOS"/>
    <s v="Sim"/>
    <m/>
    <s v="Sim"/>
    <m/>
    <s v="Não"/>
    <m/>
    <s v="VICTOR MAYA NASCIMENTO ALMEID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LISSON LUAN DA SILVA"/>
    <m/>
    <s v="Sim"/>
    <m/>
    <s v="Sim"/>
    <m/>
    <s v="Sim"/>
    <m/>
    <s v="Sim"/>
    <m/>
    <s v="ARIEL CRIVELLARO MARTINS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IEL CRIVELLARO MARTINS"/>
    <m/>
    <s v="Sim"/>
    <m/>
    <s v="Sim"/>
    <m/>
    <s v="Sim"/>
    <m/>
    <s v="Sim"/>
    <m/>
    <s v="ALISSON LUAN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THUR FREITAS CESARINO DOS SANTOS"/>
    <m/>
    <s v="Sim"/>
    <m/>
    <s v="Sim"/>
    <m/>
    <s v="Sim"/>
    <m/>
    <s v="Sim"/>
    <m/>
    <s v="FELIPE VILELLA DE OLIVEIRA ALVES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MERSON DANTAS PEREIRA"/>
    <m/>
    <s v="Não"/>
    <s v="MATHEUS ARTHUR FACHIN"/>
    <s v="Sim"/>
    <m/>
    <s v="Sim"/>
    <m/>
    <s v="Não"/>
    <m/>
    <s v="FELIPE PIRES SOARES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PIRES SOARES"/>
    <m/>
    <s v="Não"/>
    <s v="MATHEUS ARTHUR FACHIN"/>
    <s v="Sim"/>
    <m/>
    <s v="Sim"/>
    <m/>
    <s v="Não"/>
    <m/>
    <s v="DEGEMAR PEREIRA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OACIR BIELESKI JUNIOR"/>
    <m/>
    <s v="Sim"/>
    <m/>
    <s v="Sim"/>
    <m/>
    <s v="Sim"/>
    <m/>
    <s v="Sim"/>
    <m/>
    <s v="BARBARA CARDOSO DULTR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RICARDO FELIPE MENDES FERREIRA"/>
    <m/>
    <s v="Sim"/>
    <m/>
    <s v="Sim"/>
    <m/>
    <s v="Sim"/>
    <m/>
    <s v="Sim"/>
    <m/>
    <s v="CAIO TEIXEIRA DE ARAUJO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VICTOR MAYA NASCIMENTO ALMEIDA"/>
    <m/>
    <s v="Sim"/>
    <m/>
    <s v="Sim"/>
    <m/>
    <s v="Sim"/>
    <m/>
    <s v="Sim"/>
    <m/>
    <s v="MATHEUS SANTOS PEREIRA"/>
    <s v="ALISSON LUAN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VANDRO CARLOS GONCALVES"/>
    <m/>
    <s v="Não"/>
    <s v="LUIS FERNANDO KALIL ROSENBURG DE CASTRO"/>
    <s v="Sim"/>
    <m/>
    <s v="Sim"/>
    <m/>
    <s v="Não"/>
    <m/>
    <s v="RONALDO BRUNO DE SOUZA SANTOS"/>
    <s v="JULIANO ANDRÉ PIEROBOM DE AVIL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7:22:00"/>
    <x v="34"/>
    <s v="IVAN WALLACE DA CUNHA CASTANHEIRA"/>
    <m/>
    <s v="Sim"/>
    <m/>
    <s v="Sim"/>
    <m/>
    <s v="Sim"/>
    <m/>
    <s v="Sim"/>
    <m/>
    <s v="BRUNIELE DE JUNIO"/>
    <s v="NADABY HAUANE DOURADO DE OLIVEIRA"/>
    <s v="SIM"/>
    <s v="PEPO-202604091722"/>
    <m/>
  </r>
  <r>
    <d v="2026-09-04T17:22:00"/>
    <x v="34"/>
    <s v="IGOR PAULINELLI NOVAIS"/>
    <m/>
    <s v="Sim"/>
    <m/>
    <s v="Sim"/>
    <m/>
    <s v="Sim"/>
    <m/>
    <s v="Sim"/>
    <m/>
    <s v="BRUNIELE DE JUNIO"/>
    <s v="RAFAELA MOTA MEIRELES DO NASCIMENTO"/>
    <s v="SIM"/>
    <s v="PEPO-202604091722"/>
    <m/>
  </r>
  <r>
    <d v="2026-09-04T17:22:00"/>
    <x v="34"/>
    <s v="BRUNIELE DE JUNIO"/>
    <m/>
    <s v="Sim"/>
    <m/>
    <s v="Sim"/>
    <m/>
    <s v="Sim"/>
    <m/>
    <s v="Sim"/>
    <m/>
    <s v="JOÃO MARIO DE OLIVEIRA FREITAS"/>
    <s v="DENIS SIQUEIRA MOURA"/>
    <s v="SIM"/>
    <s v="PEPO-202604091722"/>
    <m/>
  </r>
  <r>
    <d v="2026-09-04T17:22:00"/>
    <x v="34"/>
    <s v="JOÃO MARIO DE OLIVEIRA FREITAS"/>
    <m/>
    <s v="Sim"/>
    <m/>
    <s v="Sim"/>
    <m/>
    <s v="Sim"/>
    <m/>
    <s v="Sim"/>
    <m/>
    <s v="BRUNIELE DE JUNIO"/>
    <s v="TAILY PEREIRA DE CARVALHO"/>
    <s v="SIM"/>
    <s v="PEPO-202604091722"/>
    <m/>
  </r>
  <r>
    <d v="2026-09-04T17:39:00"/>
    <x v="35"/>
    <s v="AMANDA RIBEIRO JARDIM OLIVEIRA DE SOUZA"/>
    <m/>
    <s v="Sim"/>
    <m/>
    <s v="Sim"/>
    <m/>
    <s v="Sim"/>
    <m/>
    <s v="Sim"/>
    <m/>
    <s v="VICTORIA CAROLINNE SOLANO NOVAIS"/>
    <s v="LORRAYNE CRISTINE THEZA DO CARMO"/>
    <s v="SIM"/>
    <s v="PEPO-202604091739"/>
    <m/>
  </r>
  <r>
    <d v="2026-09-04T17:22:00"/>
    <x v="36"/>
    <s v="VICTOR JOSE ALVES FERNANDES"/>
    <m/>
    <s v="Sim"/>
    <m/>
    <s v="Sim"/>
    <m/>
    <s v="Sim"/>
    <m/>
    <s v="Sim"/>
    <m/>
    <s v="RONALDO BRUNO DE SOUZA SANTOS"/>
    <s v="VINICIUS MIGUEL PEREIRA CUNHA"/>
    <s v="SIM"/>
    <s v="PEPO-202604091722"/>
    <m/>
  </r>
  <r>
    <d v="2026-09-04T17:39:00"/>
    <x v="36"/>
    <s v="VINICIUS MIGUEL PEREIRA CUNHA"/>
    <m/>
    <s v="Sim"/>
    <m/>
    <s v="Sim"/>
    <m/>
    <s v="Sim"/>
    <m/>
    <s v="Sim"/>
    <m/>
    <s v="RONALDO BRUNO DE SOUZA SANTOS"/>
    <s v="VICTOR JOSE ALVES FERNANDES"/>
    <s v="SIM"/>
    <s v="PEPO-20260409173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0" firstHeaderRow="1" firstDataRow="1" firstDataCol="1"/>
  <pivotFields count="17">
    <pivotField compact="0" outline="0" showAll="0"/>
    <pivotField axis="axisRow" compact="0" outline="0" showAll="0">
      <items count="45">
        <item x="0"/>
        <item m="1" x="38"/>
        <item x="28"/>
        <item x="4"/>
        <item x="35"/>
        <item m="1" x="41"/>
        <item m="1" x="42"/>
        <item m="1" x="43"/>
        <item x="6"/>
        <item m="1" x="37"/>
        <item m="1" x="40"/>
        <item m="1" x="39"/>
        <item x="1"/>
        <item x="2"/>
        <item x="3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4"/>
        <item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/>
    </i>
    <i>
      <x v="2"/>
    </i>
    <i>
      <x v="3"/>
    </i>
    <i>
      <x v="4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8" totalsRowShown="0" headerRowDxfId="10" dataDxfId="9">
  <autoFilter ref="A1:I288" xr:uid="{00000000-0009-0000-0100-000001000000}"/>
  <tableColumns count="9">
    <tableColumn id="1" xr3:uid="{00000000-0010-0000-0000-000001000000}" name="Gestor Avaliador" dataDxfId="8"/>
    <tableColumn id="2" xr3:uid="{00000000-0010-0000-0000-000002000000}" name="Gestor Validador" dataDxfId="7"/>
    <tableColumn id="3" xr3:uid="{00000000-0010-0000-0000-000003000000}" name="ID" dataDxfId="6"/>
    <tableColumn id="4" xr3:uid="{00000000-0010-0000-0000-000004000000}" name="Matrícula" dataDxfId="5"/>
    <tableColumn id="5" xr3:uid="{00000000-0010-0000-0000-000005000000}" name="Nome" dataDxfId="4"/>
    <tableColumn id="6" xr3:uid="{00000000-0010-0000-0000-000006000000}" name="Cargo" dataDxfId="3"/>
    <tableColumn id="7" xr3:uid="{00000000-0010-0000-0000-000007000000}" name="Unidade" dataDxfId="2"/>
    <tableColumn id="8" xr3:uid="{00000000-0010-0000-0000-000008000000}" name="Departamento" dataDxfId="1"/>
    <tableColumn id="9" xr3:uid="{00000000-0010-0000-0000-000009000000}" name="Data de admissão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90" totalsRowShown="0" headerRowDxfId="18" headerRowBorderDxfId="17" tableBorderDxfId="16">
  <autoFilter ref="A1:Q190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15"/>
    <tableColumn id="6" xr3:uid="{C5062DFD-1E5B-4585-8B3D-D5D926B5E2B4}" name="Cargo Correto?"/>
    <tableColumn id="15" xr3:uid="{707FD308-5DC8-456C-87E0-1C1C71076AD0}" name="Novo Cargo" dataDxfId="14"/>
    <tableColumn id="7" xr3:uid="{23F4A278-6130-4156-B2C6-092BB614E4A9}" name="Unidade Correta?"/>
    <tableColumn id="16" xr3:uid="{B1691D3F-F123-42C6-A2B6-E169F7E0C857}" name="Nova Unidade" dataDxfId="13"/>
    <tableColumn id="8" xr3:uid="{2FF534DC-1CF1-4C48-B7C4-CAF3960253B8}" name="Departamento Correto?"/>
    <tableColumn id="17" xr3:uid="{A89472CB-3BFB-45F5-AB02-1F4A971F64C0}" name="Novo Depto" dataDxfId="12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11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8"/>
  <sheetViews>
    <sheetView tabSelected="1" topLeftCell="A173" zoomScale="90" zoomScaleNormal="90" workbookViewId="0">
      <selection activeCell="A177" sqref="A177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64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287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287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287</v>
      </c>
      <c r="B147" s="8" t="s">
        <v>291</v>
      </c>
      <c r="C147" s="8" t="s">
        <v>469</v>
      </c>
      <c r="D147" s="10">
        <v>0</v>
      </c>
      <c r="E147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287</v>
      </c>
      <c r="B150" s="8" t="s">
        <v>291</v>
      </c>
      <c r="C150" s="8" t="s">
        <v>478</v>
      </c>
      <c r="D150" s="10" t="s">
        <v>479</v>
      </c>
      <c r="E150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514</v>
      </c>
      <c r="B165" s="8" t="s">
        <v>395</v>
      </c>
      <c r="C165" s="8" t="s">
        <v>515</v>
      </c>
      <c r="D165" s="8">
        <v>493</v>
      </c>
      <c r="E165" s="8" t="s">
        <v>516</v>
      </c>
      <c r="F165" s="8" t="s">
        <v>517</v>
      </c>
      <c r="G165" s="8" t="s">
        <v>35</v>
      </c>
      <c r="H165" s="8" t="s">
        <v>518</v>
      </c>
      <c r="I165" s="9">
        <v>44718</v>
      </c>
    </row>
    <row r="166" spans="1:9" x14ac:dyDescent="0.3">
      <c r="A166" s="8" t="s">
        <v>519</v>
      </c>
      <c r="B166" s="8" t="s">
        <v>519</v>
      </c>
      <c r="C166" s="8" t="s">
        <v>520</v>
      </c>
      <c r="D166" s="10" t="s">
        <v>521</v>
      </c>
      <c r="E166" s="8" t="s">
        <v>522</v>
      </c>
      <c r="F166" s="8" t="s">
        <v>523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519</v>
      </c>
      <c r="B167" s="8" t="s">
        <v>519</v>
      </c>
      <c r="C167" s="8" t="s">
        <v>524</v>
      </c>
      <c r="D167" s="10" t="s">
        <v>525</v>
      </c>
      <c r="E167" s="8" t="s">
        <v>526</v>
      </c>
      <c r="F167" s="8" t="s">
        <v>523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519</v>
      </c>
      <c r="B168" s="8" t="s">
        <v>519</v>
      </c>
      <c r="C168" s="8" t="s">
        <v>527</v>
      </c>
      <c r="D168" s="10" t="s">
        <v>528</v>
      </c>
      <c r="E168" s="8" t="s">
        <v>529</v>
      </c>
      <c r="F168" s="8" t="s">
        <v>523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519</v>
      </c>
      <c r="B169" s="8" t="s">
        <v>519</v>
      </c>
      <c r="C169" s="8" t="s">
        <v>530</v>
      </c>
      <c r="D169" s="10" t="s">
        <v>531</v>
      </c>
      <c r="E169" s="8" t="s">
        <v>532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519</v>
      </c>
      <c r="B170" s="8" t="s">
        <v>519</v>
      </c>
      <c r="C170" s="8" t="s">
        <v>533</v>
      </c>
      <c r="D170" s="8">
        <v>924</v>
      </c>
      <c r="E170" s="8" t="s">
        <v>534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519</v>
      </c>
      <c r="B171" s="8" t="s">
        <v>519</v>
      </c>
      <c r="C171" s="8" t="s">
        <v>535</v>
      </c>
      <c r="D171" s="10" t="s">
        <v>536</v>
      </c>
      <c r="E171" s="8" t="s">
        <v>537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519</v>
      </c>
      <c r="B172" t="s">
        <v>519</v>
      </c>
      <c r="C172" t="s">
        <v>538</v>
      </c>
      <c r="D172">
        <v>690</v>
      </c>
      <c r="E172" t="s">
        <v>539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519</v>
      </c>
      <c r="B173" s="8" t="s">
        <v>519</v>
      </c>
      <c r="C173" s="8" t="s">
        <v>540</v>
      </c>
      <c r="D173" s="8">
        <v>343</v>
      </c>
      <c r="E173" s="8" t="s">
        <v>541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519</v>
      </c>
      <c r="B174" s="8" t="s">
        <v>519</v>
      </c>
      <c r="C174" s="8" t="s">
        <v>542</v>
      </c>
      <c r="D174" s="8">
        <v>236</v>
      </c>
      <c r="E174" s="8" t="s">
        <v>543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519</v>
      </c>
      <c r="B175" s="8" t="s">
        <v>519</v>
      </c>
      <c r="C175" s="8" t="s">
        <v>544</v>
      </c>
      <c r="D175" s="10" t="s">
        <v>545</v>
      </c>
      <c r="E175" s="8" t="s">
        <v>546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519</v>
      </c>
      <c r="B176" s="8" t="s">
        <v>519</v>
      </c>
      <c r="C176" s="8" t="s">
        <v>547</v>
      </c>
      <c r="D176" s="8">
        <v>922</v>
      </c>
      <c r="E176" s="8" t="s">
        <v>548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549</v>
      </c>
      <c r="B177" s="8" t="s">
        <v>550</v>
      </c>
      <c r="C177" s="8" t="s">
        <v>551</v>
      </c>
      <c r="D177" s="10" t="s">
        <v>552</v>
      </c>
      <c r="E177" s="8" t="s">
        <v>48</v>
      </c>
      <c r="F177" s="8" t="s">
        <v>553</v>
      </c>
      <c r="G177" s="8" t="s">
        <v>35</v>
      </c>
      <c r="H177" s="8" t="s">
        <v>554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555</v>
      </c>
      <c r="D178" s="8">
        <v>634</v>
      </c>
      <c r="E178" s="8" t="s">
        <v>556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557</v>
      </c>
      <c r="D179" s="8">
        <v>356</v>
      </c>
      <c r="E179" s="8" t="s">
        <v>558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559</v>
      </c>
      <c r="D180" s="8">
        <v>637</v>
      </c>
      <c r="E180" s="8" t="s">
        <v>560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561</v>
      </c>
      <c r="D181" s="8">
        <v>434</v>
      </c>
      <c r="E181" s="8" t="s">
        <v>562</v>
      </c>
      <c r="F181" s="8" t="s">
        <v>563</v>
      </c>
      <c r="G181" s="8" t="s">
        <v>35</v>
      </c>
      <c r="H181" s="8" t="s">
        <v>564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565</v>
      </c>
      <c r="D182" s="8">
        <v>927</v>
      </c>
      <c r="E182" s="8" t="s">
        <v>566</v>
      </c>
      <c r="F182" s="8" t="s">
        <v>228</v>
      </c>
      <c r="G182" s="8" t="s">
        <v>35</v>
      </c>
      <c r="H182" s="8" t="s">
        <v>564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567</v>
      </c>
      <c r="D183" s="8">
        <v>539</v>
      </c>
      <c r="E183" s="8" t="s">
        <v>514</v>
      </c>
      <c r="F183" s="8" t="s">
        <v>568</v>
      </c>
      <c r="G183" s="8" t="s">
        <v>35</v>
      </c>
      <c r="H183" s="8" t="s">
        <v>518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9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523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519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 x14ac:dyDescent="0.3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 x14ac:dyDescent="0.3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 x14ac:dyDescent="0.3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 x14ac:dyDescent="0.3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 x14ac:dyDescent="0.3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 x14ac:dyDescent="0.3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 x14ac:dyDescent="0.3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940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45978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687</v>
      </c>
      <c r="E276" s="8" t="s">
        <v>806</v>
      </c>
      <c r="F276" s="8" t="s">
        <v>312</v>
      </c>
      <c r="G276" s="8" t="s">
        <v>35</v>
      </c>
      <c r="H276" s="8" t="s">
        <v>289</v>
      </c>
      <c r="I276" s="9">
        <v>45357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623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45154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792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45628</v>
      </c>
    </row>
    <row r="279" spans="1:9" x14ac:dyDescent="0.3">
      <c r="A279" s="8" t="s">
        <v>287</v>
      </c>
      <c r="B279" s="8" t="s">
        <v>643</v>
      </c>
      <c r="C279" s="8" t="s">
        <v>811</v>
      </c>
      <c r="D279" s="8">
        <v>771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45566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711</v>
      </c>
      <c r="E280" s="8" t="s">
        <v>814</v>
      </c>
      <c r="F280" s="8" t="s">
        <v>463</v>
      </c>
      <c r="G280" s="8" t="s">
        <v>35</v>
      </c>
      <c r="H280" s="8" t="s">
        <v>289</v>
      </c>
      <c r="I280" s="9">
        <v>45446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874</v>
      </c>
      <c r="E281" s="8" t="s">
        <v>816</v>
      </c>
      <c r="F281" s="8" t="s">
        <v>463</v>
      </c>
      <c r="G281" s="8" t="s">
        <v>35</v>
      </c>
      <c r="H281" s="11" t="s">
        <v>289</v>
      </c>
      <c r="I281" s="9">
        <v>45782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875</v>
      </c>
      <c r="E282" s="8" t="s">
        <v>818</v>
      </c>
      <c r="F282" s="8" t="s">
        <v>463</v>
      </c>
      <c r="G282" s="8" t="s">
        <v>35</v>
      </c>
      <c r="H282" s="8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852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45722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790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45628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847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45722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939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45966</v>
      </c>
    </row>
    <row r="287" spans="1:9" x14ac:dyDescent="0.3">
      <c r="A287" s="8" t="s">
        <v>287</v>
      </c>
      <c r="B287" s="8" t="s">
        <v>643</v>
      </c>
      <c r="C287" s="8" t="s">
        <v>827</v>
      </c>
      <c r="D287" s="8">
        <v>753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45520</v>
      </c>
    </row>
    <row r="288" spans="1:9" x14ac:dyDescent="0.3">
      <c r="A288" s="8" t="s">
        <v>287</v>
      </c>
      <c r="B288" s="8" t="s">
        <v>643</v>
      </c>
      <c r="C288" s="8" t="s">
        <v>829</v>
      </c>
      <c r="D288" s="8">
        <v>828</v>
      </c>
      <c r="E288" s="8" t="s">
        <v>830</v>
      </c>
      <c r="F288" s="8" t="s">
        <v>467</v>
      </c>
      <c r="G288" s="8" t="s">
        <v>35</v>
      </c>
      <c r="H288" s="8" t="s">
        <v>345</v>
      </c>
      <c r="I288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0"/>
  <sheetViews>
    <sheetView topLeftCell="A181" workbookViewId="0">
      <selection activeCell="R188" sqref="R188"/>
    </sheetView>
  </sheetViews>
  <sheetFormatPr defaultRowHeight="15" customHeight="1" x14ac:dyDescent="0.3"/>
  <cols>
    <col min="1" max="1" width="21.88671875" bestFit="1" customWidth="1"/>
    <col min="2" max="2" width="45" bestFit="1" customWidth="1"/>
    <col min="3" max="3" width="47.44140625" bestFit="1" customWidth="1"/>
    <col min="4" max="4" width="7.33203125" bestFit="1" customWidth="1"/>
    <col min="5" max="5" width="18.6640625" bestFit="1" customWidth="1"/>
    <col min="6" max="6" width="41.44140625" bestFit="1" customWidth="1"/>
    <col min="7" max="7" width="18.109375" bestFit="1" customWidth="1"/>
    <col min="8" max="8" width="15.44140625" bestFit="1" customWidth="1"/>
    <col min="9" max="9" width="20.3320312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38.664062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425</v>
      </c>
      <c r="C2" s="12" t="s">
        <v>737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425</v>
      </c>
      <c r="C3" s="12" t="s">
        <v>741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425</v>
      </c>
      <c r="C4" s="12" t="s">
        <v>743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502</v>
      </c>
      <c r="C5" s="12" t="s">
        <v>556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558</v>
      </c>
      <c r="N5" s="12" t="s">
        <v>560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502</v>
      </c>
      <c r="C6" s="12" t="s">
        <v>558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556</v>
      </c>
      <c r="N6" s="12" t="s">
        <v>560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502</v>
      </c>
      <c r="C7" s="12" t="s">
        <v>560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558</v>
      </c>
      <c r="N7" s="12" t="s">
        <v>556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854</v>
      </c>
      <c r="B13" s="12" t="s">
        <v>38</v>
      </c>
      <c r="C13" s="12" t="s">
        <v>581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584</v>
      </c>
      <c r="N13" s="12" t="s">
        <v>586</v>
      </c>
      <c r="O13" s="12" t="str">
        <f>IF(TabelaRespostas[[#This Row],[Momento do Envio]]&gt;=1,"SIM","NÃO")</f>
        <v>SIM</v>
      </c>
      <c r="P13" s="12" t="s">
        <v>855</v>
      </c>
      <c r="Q13" s="12"/>
    </row>
    <row r="14" spans="1:17" ht="15" customHeight="1" x14ac:dyDescent="0.3">
      <c r="A14" s="12" t="s">
        <v>854</v>
      </c>
      <c r="B14" s="12" t="s">
        <v>38</v>
      </c>
      <c r="C14" s="12" t="s">
        <v>584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581</v>
      </c>
      <c r="N14" s="12" t="s">
        <v>588</v>
      </c>
      <c r="O14" s="12" t="str">
        <f>IF(TabelaRespostas[[#This Row],[Momento do Envio]]&gt;=1,"SIM","NÃO")</f>
        <v>SIM</v>
      </c>
      <c r="P14" s="12" t="s">
        <v>855</v>
      </c>
      <c r="Q14" s="12"/>
    </row>
    <row r="15" spans="1:17" ht="15" customHeight="1" x14ac:dyDescent="0.3">
      <c r="A15" s="12" t="s">
        <v>854</v>
      </c>
      <c r="B15" s="12" t="s">
        <v>38</v>
      </c>
      <c r="C15" s="12" t="s">
        <v>586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588</v>
      </c>
      <c r="N15" s="12" t="s">
        <v>590</v>
      </c>
      <c r="O15" s="12" t="str">
        <f>IF(TabelaRespostas[[#This Row],[Momento do Envio]]&gt;=1,"SIM","NÃO")</f>
        <v>SIM</v>
      </c>
      <c r="P15" s="12" t="s">
        <v>855</v>
      </c>
      <c r="Q15" s="12"/>
    </row>
    <row r="16" spans="1:17" ht="15" customHeight="1" x14ac:dyDescent="0.3">
      <c r="A16" s="12" t="s">
        <v>854</v>
      </c>
      <c r="B16" s="12" t="s">
        <v>38</v>
      </c>
      <c r="C16" s="12" t="s">
        <v>588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584</v>
      </c>
      <c r="N16" s="12" t="s">
        <v>586</v>
      </c>
      <c r="O16" s="12" t="str">
        <f>IF(TabelaRespostas[[#This Row],[Momento do Envio]]&gt;=1,"SIM","NÃO")</f>
        <v>SIM</v>
      </c>
      <c r="P16" s="12" t="s">
        <v>855</v>
      </c>
      <c r="Q16" s="12"/>
    </row>
    <row r="17" spans="1:17" ht="15" customHeight="1" x14ac:dyDescent="0.3">
      <c r="A17" s="12" t="s">
        <v>854</v>
      </c>
      <c r="B17" s="12" t="s">
        <v>38</v>
      </c>
      <c r="C17" s="12" t="s">
        <v>590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581</v>
      </c>
      <c r="N17" s="12" t="s">
        <v>592</v>
      </c>
      <c r="O17" s="12" t="str">
        <f>IF(TabelaRespostas[[#This Row],[Momento do Envio]]&gt;=1,"SIM","NÃO")</f>
        <v>SIM</v>
      </c>
      <c r="P17" s="12" t="s">
        <v>855</v>
      </c>
      <c r="Q17" s="12"/>
    </row>
    <row r="18" spans="1:17" ht="15" customHeight="1" x14ac:dyDescent="0.3">
      <c r="A18" s="12" t="s">
        <v>854</v>
      </c>
      <c r="B18" s="12" t="s">
        <v>38</v>
      </c>
      <c r="C18" s="12" t="s">
        <v>592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594</v>
      </c>
      <c r="N18" s="12" t="s">
        <v>590</v>
      </c>
      <c r="O18" s="12" t="str">
        <f>IF(TabelaRespostas[[#This Row],[Momento do Envio]]&gt;=1,"SIM","NÃO")</f>
        <v>SIM</v>
      </c>
      <c r="P18" s="12" t="s">
        <v>855</v>
      </c>
      <c r="Q18" s="12"/>
    </row>
    <row r="19" spans="1:17" ht="15" customHeight="1" x14ac:dyDescent="0.3">
      <c r="A19" s="12" t="s">
        <v>854</v>
      </c>
      <c r="B19" s="12" t="s">
        <v>38</v>
      </c>
      <c r="C19" s="12" t="s">
        <v>594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586</v>
      </c>
      <c r="N19" s="12" t="s">
        <v>588</v>
      </c>
      <c r="O19" s="12" t="str">
        <f>IF(TabelaRespostas[[#This Row],[Momento do Envio]]&gt;=1,"SIM","NÃO")</f>
        <v>SIM</v>
      </c>
      <c r="P19" s="12" t="s">
        <v>855</v>
      </c>
      <c r="Q19" s="12"/>
    </row>
    <row r="20" spans="1:17" ht="15" customHeight="1" x14ac:dyDescent="0.3">
      <c r="A20" s="12" t="s">
        <v>856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857</v>
      </c>
      <c r="Q20" s="14" t="s">
        <v>858</v>
      </c>
    </row>
    <row r="21" spans="1:17" ht="15" customHeight="1" x14ac:dyDescent="0.3">
      <c r="A21" s="12" t="s">
        <v>856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857</v>
      </c>
      <c r="Q21" s="14" t="s">
        <v>858</v>
      </c>
    </row>
    <row r="22" spans="1:17" ht="15" customHeight="1" x14ac:dyDescent="0.3">
      <c r="A22" s="12" t="s">
        <v>856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857</v>
      </c>
      <c r="Q22" s="14" t="s">
        <v>858</v>
      </c>
    </row>
    <row r="23" spans="1:17" ht="15" customHeight="1" x14ac:dyDescent="0.3">
      <c r="A23" s="12" t="s">
        <v>856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857</v>
      </c>
      <c r="Q23" s="14" t="s">
        <v>858</v>
      </c>
    </row>
    <row r="24" spans="1:17" ht="15" customHeight="1" x14ac:dyDescent="0.3">
      <c r="A24" s="12" t="s">
        <v>859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860</v>
      </c>
      <c r="Q24" s="14" t="s">
        <v>861</v>
      </c>
    </row>
    <row r="25" spans="1:17" ht="15" customHeight="1" x14ac:dyDescent="0.3">
      <c r="A25" s="12" t="s">
        <v>859</v>
      </c>
      <c r="B25" s="12" t="s">
        <v>341</v>
      </c>
      <c r="C25" s="12" t="s">
        <v>769</v>
      </c>
      <c r="D25" s="12"/>
      <c r="E25" s="12" t="s">
        <v>848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594</v>
      </c>
      <c r="N25" s="12" t="s">
        <v>588</v>
      </c>
      <c r="O25" s="12" t="str">
        <f>IF(TabelaRespostas[[#This Row],[Momento do Envio]]&gt;=1,"SIM","NÃO")</f>
        <v>SIM</v>
      </c>
      <c r="P25" s="12" t="s">
        <v>860</v>
      </c>
      <c r="Q25" s="14" t="s">
        <v>861</v>
      </c>
    </row>
    <row r="26" spans="1:17" ht="15" customHeight="1" x14ac:dyDescent="0.3">
      <c r="A26" s="12" t="s">
        <v>859</v>
      </c>
      <c r="B26" s="12" t="s">
        <v>341</v>
      </c>
      <c r="C26" s="12" t="s">
        <v>772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860</v>
      </c>
      <c r="Q26" s="14" t="s">
        <v>861</v>
      </c>
    </row>
    <row r="27" spans="1:17" ht="15" customHeight="1" x14ac:dyDescent="0.3">
      <c r="A27" s="12" t="s">
        <v>859</v>
      </c>
      <c r="B27" s="12" t="s">
        <v>341</v>
      </c>
      <c r="C27" s="12" t="s">
        <v>774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860</v>
      </c>
      <c r="Q27" s="14" t="s">
        <v>861</v>
      </c>
    </row>
    <row r="28" spans="1:17" ht="15" customHeight="1" x14ac:dyDescent="0.3">
      <c r="A28" s="12" t="s">
        <v>859</v>
      </c>
      <c r="B28" s="12" t="s">
        <v>341</v>
      </c>
      <c r="C28" s="12" t="s">
        <v>366</v>
      </c>
      <c r="D28" s="12"/>
      <c r="E28" s="12" t="s">
        <v>848</v>
      </c>
      <c r="F28" s="13"/>
      <c r="G28" s="12" t="s">
        <v>862</v>
      </c>
      <c r="H28" s="13" t="s">
        <v>344</v>
      </c>
      <c r="I28" s="12" t="s">
        <v>848</v>
      </c>
      <c r="J28" s="13"/>
      <c r="K28" s="12" t="s">
        <v>848</v>
      </c>
      <c r="L28" s="13"/>
      <c r="M28" s="12" t="s">
        <v>779</v>
      </c>
      <c r="N28" s="12" t="s">
        <v>562</v>
      </c>
      <c r="O28" s="12" t="str">
        <f>IF(TabelaRespostas[[#This Row],[Momento do Envio]]&gt;=1,"SIM","NÃO")</f>
        <v>SIM</v>
      </c>
      <c r="P28" s="12" t="s">
        <v>860</v>
      </c>
      <c r="Q28" s="14" t="s">
        <v>861</v>
      </c>
    </row>
    <row r="29" spans="1:17" ht="15" customHeight="1" x14ac:dyDescent="0.3">
      <c r="A29" s="12" t="s">
        <v>859</v>
      </c>
      <c r="B29" s="12" t="s">
        <v>341</v>
      </c>
      <c r="C29" s="12" t="s">
        <v>777</v>
      </c>
      <c r="D29" s="12"/>
      <c r="E29" s="12" t="s">
        <v>848</v>
      </c>
      <c r="F29" s="13"/>
      <c r="G29" s="12" t="s">
        <v>848</v>
      </c>
      <c r="H29" s="13"/>
      <c r="I29" s="12" t="s">
        <v>848</v>
      </c>
      <c r="J29" s="13"/>
      <c r="K29" s="12" t="s">
        <v>848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860</v>
      </c>
      <c r="Q29" s="14" t="s">
        <v>861</v>
      </c>
    </row>
    <row r="30" spans="1:17" ht="15" customHeight="1" x14ac:dyDescent="0.3">
      <c r="A30" s="12" t="s">
        <v>859</v>
      </c>
      <c r="B30" s="12" t="s">
        <v>341</v>
      </c>
      <c r="C30" s="12" t="s">
        <v>779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860</v>
      </c>
      <c r="Q30" s="14" t="s">
        <v>861</v>
      </c>
    </row>
    <row r="31" spans="1:17" ht="15" customHeight="1" x14ac:dyDescent="0.3">
      <c r="A31" s="12" t="s">
        <v>859</v>
      </c>
      <c r="B31" s="12" t="s">
        <v>341</v>
      </c>
      <c r="C31" s="12" t="s">
        <v>371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860</v>
      </c>
      <c r="Q31" s="14" t="s">
        <v>861</v>
      </c>
    </row>
    <row r="32" spans="1:17" ht="15" customHeight="1" x14ac:dyDescent="0.3">
      <c r="A32" s="12" t="s">
        <v>859</v>
      </c>
      <c r="B32" s="12" t="s">
        <v>341</v>
      </c>
      <c r="C32" s="12" t="s">
        <v>650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860</v>
      </c>
      <c r="Q32" s="14" t="s">
        <v>861</v>
      </c>
    </row>
    <row r="33" spans="1:17" ht="15" customHeight="1" x14ac:dyDescent="0.3">
      <c r="A33" s="12" t="s">
        <v>859</v>
      </c>
      <c r="B33" s="12" t="s">
        <v>341</v>
      </c>
      <c r="C33" s="12" t="s">
        <v>785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860</v>
      </c>
      <c r="Q33" s="14" t="s">
        <v>861</v>
      </c>
    </row>
    <row r="34" spans="1:17" ht="15" customHeight="1" x14ac:dyDescent="0.3">
      <c r="A34" s="12" t="s">
        <v>863</v>
      </c>
      <c r="B34" s="12" t="s">
        <v>183</v>
      </c>
      <c r="C34" s="12" t="s">
        <v>182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862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864</v>
      </c>
      <c r="Q34" s="14"/>
    </row>
    <row r="35" spans="1:17" ht="15" customHeight="1" x14ac:dyDescent="0.3">
      <c r="A35" s="12" t="s">
        <v>863</v>
      </c>
      <c r="B35" s="12" t="s">
        <v>183</v>
      </c>
      <c r="C35" s="12" t="s">
        <v>425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848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864</v>
      </c>
      <c r="Q35" s="14"/>
    </row>
    <row r="36" spans="1:17" ht="15" customHeight="1" x14ac:dyDescent="0.3">
      <c r="A36" s="12" t="s">
        <v>863</v>
      </c>
      <c r="B36" s="12" t="s">
        <v>183</v>
      </c>
      <c r="C36" s="12" t="s">
        <v>255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862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864</v>
      </c>
      <c r="Q36" s="14"/>
    </row>
    <row r="37" spans="1:17" ht="15" customHeight="1" x14ac:dyDescent="0.3">
      <c r="A37" s="12" t="s">
        <v>865</v>
      </c>
      <c r="B37" s="12" t="s">
        <v>67</v>
      </c>
      <c r="C37" s="12" t="s">
        <v>148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848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866</v>
      </c>
      <c r="Q37" s="14" t="s">
        <v>867</v>
      </c>
    </row>
    <row r="38" spans="1:17" ht="15" customHeight="1" x14ac:dyDescent="0.3">
      <c r="A38" s="12" t="s">
        <v>865</v>
      </c>
      <c r="B38" s="12" t="s">
        <v>67</v>
      </c>
      <c r="C38" s="12" t="s">
        <v>152</v>
      </c>
      <c r="D38" s="12"/>
      <c r="E38" s="12" t="s">
        <v>862</v>
      </c>
      <c r="F38" s="13" t="s">
        <v>64</v>
      </c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866</v>
      </c>
      <c r="Q38" s="14" t="s">
        <v>867</v>
      </c>
    </row>
    <row r="39" spans="1:17" ht="15" customHeight="1" x14ac:dyDescent="0.3">
      <c r="A39" s="12" t="s">
        <v>865</v>
      </c>
      <c r="B39" s="12" t="s">
        <v>67</v>
      </c>
      <c r="C39" s="12" t="s">
        <v>156</v>
      </c>
      <c r="D39" s="12"/>
      <c r="E39" s="12" t="s">
        <v>848</v>
      </c>
      <c r="F39" s="13"/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866</v>
      </c>
      <c r="Q39" s="14" t="s">
        <v>867</v>
      </c>
    </row>
    <row r="40" spans="1:17" ht="15" customHeight="1" x14ac:dyDescent="0.3">
      <c r="A40" s="12" t="s">
        <v>865</v>
      </c>
      <c r="B40" s="12" t="s">
        <v>67</v>
      </c>
      <c r="C40" s="12" t="s">
        <v>161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866</v>
      </c>
      <c r="Q40" s="14" t="s">
        <v>867</v>
      </c>
    </row>
    <row r="41" spans="1:17" ht="15" customHeight="1" x14ac:dyDescent="0.3">
      <c r="A41" s="12" t="s">
        <v>868</v>
      </c>
      <c r="B41" s="12" t="s">
        <v>395</v>
      </c>
      <c r="C41" s="12" t="s">
        <v>397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869</v>
      </c>
      <c r="Q41" s="14"/>
    </row>
    <row r="42" spans="1:17" ht="15" customHeight="1" x14ac:dyDescent="0.3">
      <c r="A42" s="12" t="s">
        <v>870</v>
      </c>
      <c r="B42" s="12" t="s">
        <v>504</v>
      </c>
      <c r="C42" s="12" t="s">
        <v>506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509</v>
      </c>
      <c r="N42" s="12" t="s">
        <v>511</v>
      </c>
      <c r="O42" s="12" t="str">
        <f>IF(TabelaRespostas[[#This Row],[Momento do Envio]]&gt;=1,"SIM","NÃO")</f>
        <v>SIM</v>
      </c>
      <c r="P42" s="12" t="s">
        <v>871</v>
      </c>
      <c r="Q42" s="14"/>
    </row>
    <row r="43" spans="1:17" ht="15" customHeight="1" x14ac:dyDescent="0.3">
      <c r="A43" s="12" t="s">
        <v>870</v>
      </c>
      <c r="B43" s="12" t="s">
        <v>504</v>
      </c>
      <c r="C43" s="12" t="s">
        <v>509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506</v>
      </c>
      <c r="N43" s="12" t="s">
        <v>513</v>
      </c>
      <c r="O43" s="12" t="str">
        <f>IF(TabelaRespostas[[#This Row],[Momento do Envio]]&gt;=1,"SIM","NÃO")</f>
        <v>SIM</v>
      </c>
      <c r="P43" s="12" t="s">
        <v>871</v>
      </c>
      <c r="Q43" s="14"/>
    </row>
    <row r="44" spans="1:17" ht="15" customHeight="1" x14ac:dyDescent="0.3">
      <c r="A44" s="12" t="s">
        <v>870</v>
      </c>
      <c r="B44" s="12" t="s">
        <v>504</v>
      </c>
      <c r="C44" s="12" t="s">
        <v>511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509</v>
      </c>
      <c r="N44" s="12" t="s">
        <v>513</v>
      </c>
      <c r="O44" s="12" t="str">
        <f>IF(TabelaRespostas[[#This Row],[Momento do Envio]]&gt;=1,"SIM","NÃO")</f>
        <v>SIM</v>
      </c>
      <c r="P44" s="12" t="s">
        <v>871</v>
      </c>
      <c r="Q44" s="14"/>
    </row>
    <row r="45" spans="1:17" ht="15" customHeight="1" x14ac:dyDescent="0.3">
      <c r="A45" s="12" t="s">
        <v>870</v>
      </c>
      <c r="B45" s="12" t="s">
        <v>504</v>
      </c>
      <c r="C45" s="12" t="s">
        <v>513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506</v>
      </c>
      <c r="N45" s="12" t="s">
        <v>511</v>
      </c>
      <c r="O45" s="12" t="str">
        <f>IF(TabelaRespostas[[#This Row],[Momento do Envio]]&gt;=1,"SIM","NÃO")</f>
        <v>SIM</v>
      </c>
      <c r="P45" s="12" t="s">
        <v>871</v>
      </c>
      <c r="Q45" s="14"/>
    </row>
    <row r="46" spans="1:17" ht="15" customHeight="1" x14ac:dyDescent="0.3">
      <c r="A46" s="15">
        <v>46026.434027777781</v>
      </c>
      <c r="B46" s="12" t="s">
        <v>514</v>
      </c>
      <c r="C46" s="12" t="s">
        <v>872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873</v>
      </c>
      <c r="Q46" s="14"/>
    </row>
    <row r="47" spans="1:17" ht="15" customHeight="1" x14ac:dyDescent="0.3">
      <c r="A47" s="15">
        <v>46026.466666666667</v>
      </c>
      <c r="B47" s="12" t="s">
        <v>366</v>
      </c>
      <c r="C47" s="12" t="s">
        <v>368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874</v>
      </c>
      <c r="Q47" s="14"/>
    </row>
    <row r="48" spans="1:17" ht="15" customHeight="1" x14ac:dyDescent="0.3">
      <c r="A48" s="15">
        <v>46026.647222222222</v>
      </c>
      <c r="B48" s="12" t="s">
        <v>270</v>
      </c>
      <c r="C48" s="12" t="s">
        <v>272</v>
      </c>
      <c r="D48" s="12"/>
      <c r="E48" s="12" t="s">
        <v>848</v>
      </c>
      <c r="F48" s="13"/>
      <c r="G48" s="12" t="s">
        <v>848</v>
      </c>
      <c r="H48" s="13"/>
      <c r="I48" s="12" t="s">
        <v>848</v>
      </c>
      <c r="J48" s="13"/>
      <c r="K48" s="12" t="s">
        <v>862</v>
      </c>
      <c r="L48" s="13"/>
      <c r="M48" s="12" t="s">
        <v>280</v>
      </c>
      <c r="N48" s="12" t="s">
        <v>276</v>
      </c>
      <c r="O48" s="12" t="str">
        <f>IF(TabelaRespostas[[#This Row],[Momento do Envio]]&gt;=1,"SIM","NÃO")</f>
        <v>SIM</v>
      </c>
      <c r="P48" s="12" t="s">
        <v>875</v>
      </c>
      <c r="Q48" s="14"/>
    </row>
    <row r="49" spans="1:17" ht="15" customHeight="1" x14ac:dyDescent="0.3">
      <c r="A49" s="15">
        <v>46026.647222222222</v>
      </c>
      <c r="B49" s="12" t="s">
        <v>270</v>
      </c>
      <c r="C49" s="12" t="s">
        <v>276</v>
      </c>
      <c r="D49" s="12"/>
      <c r="E49" s="12" t="s">
        <v>848</v>
      </c>
      <c r="F49" s="13"/>
      <c r="G49" s="12" t="s">
        <v>848</v>
      </c>
      <c r="H49" s="13"/>
      <c r="I49" s="12" t="s">
        <v>848</v>
      </c>
      <c r="J49" s="13"/>
      <c r="K49" s="12" t="s">
        <v>862</v>
      </c>
      <c r="L49" s="13"/>
      <c r="M49" s="12" t="s">
        <v>282</v>
      </c>
      <c r="N49" s="12" t="s">
        <v>272</v>
      </c>
      <c r="O49" s="12" t="str">
        <f>IF(TabelaRespostas[[#This Row],[Momento do Envio]]&gt;=1,"SIM","NÃO")</f>
        <v>SIM</v>
      </c>
      <c r="P49" s="12" t="s">
        <v>875</v>
      </c>
      <c r="Q49" s="14"/>
    </row>
    <row r="50" spans="1:17" ht="15" customHeight="1" x14ac:dyDescent="0.3">
      <c r="A50" s="15">
        <v>46026.647222222222</v>
      </c>
      <c r="B50" s="12" t="s">
        <v>270</v>
      </c>
      <c r="C50" s="12" t="s">
        <v>280</v>
      </c>
      <c r="D50" s="12"/>
      <c r="E50" s="12" t="s">
        <v>848</v>
      </c>
      <c r="F50" s="13"/>
      <c r="G50" s="12" t="s">
        <v>848</v>
      </c>
      <c r="H50" s="13"/>
      <c r="I50" s="12" t="s">
        <v>848</v>
      </c>
      <c r="J50" s="13"/>
      <c r="K50" s="12" t="s">
        <v>862</v>
      </c>
      <c r="L50" s="13"/>
      <c r="M50" s="12" t="s">
        <v>276</v>
      </c>
      <c r="N50" s="12" t="s">
        <v>282</v>
      </c>
      <c r="O50" s="12" t="str">
        <f>IF(TabelaRespostas[[#This Row],[Momento do Envio]]&gt;=1,"SIM","NÃO")</f>
        <v>SIM</v>
      </c>
      <c r="P50" s="12" t="s">
        <v>875</v>
      </c>
      <c r="Q50" s="14"/>
    </row>
    <row r="51" spans="1:17" ht="15" customHeight="1" x14ac:dyDescent="0.3">
      <c r="A51" s="15">
        <v>46026.647222222222</v>
      </c>
      <c r="B51" s="12" t="s">
        <v>270</v>
      </c>
      <c r="C51" s="12" t="s">
        <v>282</v>
      </c>
      <c r="D51" s="12"/>
      <c r="E51" s="12" t="s">
        <v>848</v>
      </c>
      <c r="F51" s="13"/>
      <c r="G51" s="12" t="s">
        <v>848</v>
      </c>
      <c r="H51" s="13"/>
      <c r="I51" s="12" t="s">
        <v>848</v>
      </c>
      <c r="J51" s="13"/>
      <c r="K51" s="12" t="s">
        <v>862</v>
      </c>
      <c r="L51" s="13"/>
      <c r="M51" s="12" t="s">
        <v>272</v>
      </c>
      <c r="N51" s="12" t="s">
        <v>280</v>
      </c>
      <c r="O51" s="12" t="str">
        <f>IF(TabelaRespostas[[#This Row],[Momento do Envio]]&gt;=1,"SIM","NÃO")</f>
        <v>SIM</v>
      </c>
      <c r="P51" s="12" t="s">
        <v>875</v>
      </c>
      <c r="Q51" s="14"/>
    </row>
    <row r="52" spans="1:17" ht="15" customHeight="1" x14ac:dyDescent="0.3">
      <c r="A52" s="15">
        <v>46026.660416666666</v>
      </c>
      <c r="B52" s="12" t="s">
        <v>417</v>
      </c>
      <c r="C52" s="12" t="s">
        <v>430</v>
      </c>
      <c r="D52" s="12"/>
      <c r="E52" s="12" t="s">
        <v>848</v>
      </c>
      <c r="F52" s="13"/>
      <c r="G52" s="12" t="s">
        <v>848</v>
      </c>
      <c r="H52" s="13"/>
      <c r="I52" s="12" t="s">
        <v>848</v>
      </c>
      <c r="J52" s="13"/>
      <c r="K52" s="12" t="s">
        <v>848</v>
      </c>
      <c r="L52" s="13"/>
      <c r="M52" s="12" t="s">
        <v>437</v>
      </c>
      <c r="N52" s="12" t="s">
        <v>433</v>
      </c>
      <c r="O52" s="12" t="str">
        <f>IF(TabelaRespostas[[#This Row],[Momento do Envio]]&gt;=1,"SIM","NÃO")</f>
        <v>SIM</v>
      </c>
      <c r="P52" s="12" t="s">
        <v>876</v>
      </c>
      <c r="Q52" s="14"/>
    </row>
    <row r="53" spans="1:17" ht="15" customHeight="1" x14ac:dyDescent="0.3">
      <c r="A53" s="15">
        <v>46026.660416666666</v>
      </c>
      <c r="B53" s="12" t="s">
        <v>417</v>
      </c>
      <c r="C53" s="12" t="s">
        <v>430</v>
      </c>
      <c r="D53" s="12"/>
      <c r="E53" s="12" t="s">
        <v>848</v>
      </c>
      <c r="F53" s="13"/>
      <c r="G53" s="12" t="s">
        <v>848</v>
      </c>
      <c r="H53" s="13"/>
      <c r="I53" s="12" t="s">
        <v>848</v>
      </c>
      <c r="J53" s="13"/>
      <c r="K53" s="12" t="s">
        <v>848</v>
      </c>
      <c r="L53" s="13"/>
      <c r="M53" s="12" t="s">
        <v>437</v>
      </c>
      <c r="N53" s="12" t="s">
        <v>433</v>
      </c>
      <c r="O53" s="12" t="str">
        <f>IF(TabelaRespostas[[#This Row],[Momento do Envio]]&gt;=1,"SIM","NÃO")</f>
        <v>SIM</v>
      </c>
      <c r="P53" s="12" t="s">
        <v>876</v>
      </c>
      <c r="Q53" s="14"/>
    </row>
    <row r="54" spans="1:17" ht="15" customHeight="1" x14ac:dyDescent="0.3">
      <c r="A54" s="15">
        <v>46026.660416666666</v>
      </c>
      <c r="B54" s="12" t="s">
        <v>417</v>
      </c>
      <c r="C54" s="12" t="s">
        <v>433</v>
      </c>
      <c r="D54" s="12"/>
      <c r="E54" s="12" t="s">
        <v>848</v>
      </c>
      <c r="F54" s="13"/>
      <c r="G54" s="12" t="s">
        <v>848</v>
      </c>
      <c r="H54" s="13"/>
      <c r="I54" s="12" t="s">
        <v>848</v>
      </c>
      <c r="J54" s="13"/>
      <c r="K54" s="12" t="s">
        <v>848</v>
      </c>
      <c r="L54" s="13"/>
      <c r="M54" s="12" t="s">
        <v>437</v>
      </c>
      <c r="N54" s="12" t="s">
        <v>435</v>
      </c>
      <c r="O54" s="12" t="str">
        <f>IF(TabelaRespostas[[#This Row],[Momento do Envio]]&gt;=1,"SIM","NÃO")</f>
        <v>SIM</v>
      </c>
      <c r="P54" s="12" t="s">
        <v>876</v>
      </c>
      <c r="Q54" s="14"/>
    </row>
    <row r="55" spans="1:17" ht="15" customHeight="1" x14ac:dyDescent="0.3">
      <c r="A55" s="15">
        <v>46026.660416666666</v>
      </c>
      <c r="B55" s="12" t="s">
        <v>417</v>
      </c>
      <c r="C55" s="12" t="s">
        <v>433</v>
      </c>
      <c r="D55" s="12"/>
      <c r="E55" s="12" t="s">
        <v>848</v>
      </c>
      <c r="F55" s="13"/>
      <c r="G55" s="12" t="s">
        <v>848</v>
      </c>
      <c r="H55" s="13"/>
      <c r="I55" s="12" t="s">
        <v>848</v>
      </c>
      <c r="J55" s="13"/>
      <c r="K55" s="12" t="s">
        <v>848</v>
      </c>
      <c r="L55" s="13"/>
      <c r="M55" s="12" t="s">
        <v>437</v>
      </c>
      <c r="N55" s="12" t="s">
        <v>435</v>
      </c>
      <c r="O55" s="12" t="str">
        <f>IF(TabelaRespostas[[#This Row],[Momento do Envio]]&gt;=1,"SIM","NÃO")</f>
        <v>SIM</v>
      </c>
      <c r="P55" s="12" t="s">
        <v>876</v>
      </c>
      <c r="Q55" s="14"/>
    </row>
    <row r="56" spans="1:17" ht="15" customHeight="1" x14ac:dyDescent="0.3">
      <c r="A56" s="15">
        <v>46026.660416666666</v>
      </c>
      <c r="B56" s="12" t="s">
        <v>417</v>
      </c>
      <c r="C56" s="12" t="s">
        <v>435</v>
      </c>
      <c r="D56" s="12"/>
      <c r="E56" s="12" t="s">
        <v>848</v>
      </c>
      <c r="F56" s="13"/>
      <c r="G56" s="12" t="s">
        <v>848</v>
      </c>
      <c r="H56" s="13"/>
      <c r="I56" s="12" t="s">
        <v>848</v>
      </c>
      <c r="J56" s="13"/>
      <c r="K56" s="12" t="s">
        <v>848</v>
      </c>
      <c r="L56" s="13"/>
      <c r="M56" s="12" t="s">
        <v>430</v>
      </c>
      <c r="N56" s="12" t="s">
        <v>433</v>
      </c>
      <c r="O56" s="12" t="str">
        <f>IF(TabelaRespostas[[#This Row],[Momento do Envio]]&gt;=1,"SIM","NÃO")</f>
        <v>SIM</v>
      </c>
      <c r="P56" s="12" t="s">
        <v>876</v>
      </c>
      <c r="Q56" s="14"/>
    </row>
    <row r="57" spans="1:17" ht="15" customHeight="1" x14ac:dyDescent="0.3">
      <c r="A57" s="15">
        <v>46026.660416666666</v>
      </c>
      <c r="B57" s="12" t="s">
        <v>417</v>
      </c>
      <c r="C57" s="12" t="s">
        <v>435</v>
      </c>
      <c r="D57" s="12"/>
      <c r="E57" s="12" t="s">
        <v>848</v>
      </c>
      <c r="F57" s="13"/>
      <c r="G57" s="12" t="s">
        <v>848</v>
      </c>
      <c r="H57" s="13"/>
      <c r="I57" s="12" t="s">
        <v>848</v>
      </c>
      <c r="J57" s="13"/>
      <c r="K57" s="12" t="s">
        <v>848</v>
      </c>
      <c r="L57" s="13"/>
      <c r="M57" s="12" t="s">
        <v>430</v>
      </c>
      <c r="N57" s="12" t="s">
        <v>433</v>
      </c>
      <c r="O57" s="12" t="str">
        <f>IF(TabelaRespostas[[#This Row],[Momento do Envio]]&gt;=1,"SIM","NÃO")</f>
        <v>SIM</v>
      </c>
      <c r="P57" s="12" t="s">
        <v>876</v>
      </c>
      <c r="Q57" s="14"/>
    </row>
    <row r="58" spans="1:17" ht="15" customHeight="1" x14ac:dyDescent="0.3">
      <c r="A58" s="15">
        <v>46026.660416666666</v>
      </c>
      <c r="B58" s="12" t="s">
        <v>417</v>
      </c>
      <c r="C58" s="12" t="s">
        <v>437</v>
      </c>
      <c r="D58" s="12"/>
      <c r="E58" s="12" t="s">
        <v>848</v>
      </c>
      <c r="F58" s="13"/>
      <c r="G58" s="12" t="s">
        <v>848</v>
      </c>
      <c r="H58" s="13"/>
      <c r="I58" s="12" t="s">
        <v>848</v>
      </c>
      <c r="J58" s="13"/>
      <c r="K58" s="12" t="s">
        <v>848</v>
      </c>
      <c r="L58" s="13"/>
      <c r="M58" s="12" t="s">
        <v>435</v>
      </c>
      <c r="N58" s="12" t="s">
        <v>433</v>
      </c>
      <c r="O58" s="12" t="str">
        <f>IF(TabelaRespostas[[#This Row],[Momento do Envio]]&gt;=1,"SIM","NÃO")</f>
        <v>SIM</v>
      </c>
      <c r="P58" s="12" t="s">
        <v>876</v>
      </c>
      <c r="Q58" s="14"/>
    </row>
    <row r="59" spans="1:17" ht="15" customHeight="1" x14ac:dyDescent="0.3">
      <c r="A59" s="15">
        <v>46026.660416666666</v>
      </c>
      <c r="B59" s="12" t="s">
        <v>417</v>
      </c>
      <c r="C59" s="12" t="s">
        <v>437</v>
      </c>
      <c r="D59" s="12"/>
      <c r="E59" s="12" t="s">
        <v>848</v>
      </c>
      <c r="F59" s="13"/>
      <c r="G59" s="12" t="s">
        <v>848</v>
      </c>
      <c r="H59" s="13"/>
      <c r="I59" s="12" t="s">
        <v>848</v>
      </c>
      <c r="J59" s="13"/>
      <c r="K59" s="12" t="s">
        <v>848</v>
      </c>
      <c r="L59" s="13"/>
      <c r="M59" s="12" t="s">
        <v>435</v>
      </c>
      <c r="N59" s="12" t="s">
        <v>433</v>
      </c>
      <c r="O59" s="12" t="str">
        <f>IF(TabelaRespostas[[#This Row],[Momento do Envio]]&gt;=1,"SIM","NÃO")</f>
        <v>SIM</v>
      </c>
      <c r="P59" s="12" t="s">
        <v>876</v>
      </c>
      <c r="Q59" s="14"/>
    </row>
    <row r="60" spans="1:17" ht="15" customHeight="1" x14ac:dyDescent="0.3">
      <c r="A60" s="15">
        <v>46026.660416666666</v>
      </c>
      <c r="B60" s="12" t="s">
        <v>417</v>
      </c>
      <c r="C60" s="12" t="s">
        <v>270</v>
      </c>
      <c r="D60" s="12"/>
      <c r="E60" s="12" t="s">
        <v>848</v>
      </c>
      <c r="F60" s="13"/>
      <c r="G60" s="12" t="s">
        <v>848</v>
      </c>
      <c r="H60" s="13"/>
      <c r="I60" s="12" t="s">
        <v>848</v>
      </c>
      <c r="J60" s="13"/>
      <c r="K60" s="12" t="s">
        <v>848</v>
      </c>
      <c r="L60" s="13"/>
      <c r="M60" s="12" t="s">
        <v>38</v>
      </c>
      <c r="N60" s="12" t="s">
        <v>33</v>
      </c>
      <c r="O60" s="12" t="str">
        <f>IF(TabelaRespostas[[#This Row],[Momento do Envio]]&gt;=1,"SIM","NÃO")</f>
        <v>SIM</v>
      </c>
      <c r="P60" s="12" t="s">
        <v>876</v>
      </c>
      <c r="Q60" s="14"/>
    </row>
    <row r="61" spans="1:17" ht="15" customHeight="1" x14ac:dyDescent="0.3">
      <c r="A61" s="15">
        <v>46026.660416666666</v>
      </c>
      <c r="B61" s="12" t="s">
        <v>417</v>
      </c>
      <c r="C61" s="12" t="s">
        <v>270</v>
      </c>
      <c r="D61" s="12"/>
      <c r="E61" s="12" t="s">
        <v>848</v>
      </c>
      <c r="F61" s="13"/>
      <c r="G61" s="12" t="s">
        <v>848</v>
      </c>
      <c r="H61" s="13"/>
      <c r="I61" s="12" t="s">
        <v>848</v>
      </c>
      <c r="J61" s="13"/>
      <c r="K61" s="12" t="s">
        <v>848</v>
      </c>
      <c r="L61" s="13"/>
      <c r="M61" s="12" t="s">
        <v>38</v>
      </c>
      <c r="N61" s="12" t="s">
        <v>33</v>
      </c>
      <c r="O61" s="12" t="str">
        <f>IF(TabelaRespostas[[#This Row],[Momento do Envio]]&gt;=1,"SIM","NÃO")</f>
        <v>SIM</v>
      </c>
      <c r="P61" s="12" t="s">
        <v>876</v>
      </c>
      <c r="Q61" s="14"/>
    </row>
    <row r="62" spans="1:17" ht="15" customHeight="1" x14ac:dyDescent="0.3">
      <c r="A62" s="15">
        <v>46026.660416666666</v>
      </c>
      <c r="B62" s="12" t="s">
        <v>417</v>
      </c>
      <c r="C62" s="12" t="s">
        <v>443</v>
      </c>
      <c r="D62" s="12"/>
      <c r="E62" s="12" t="s">
        <v>848</v>
      </c>
      <c r="F62" s="13"/>
      <c r="G62" s="12" t="s">
        <v>848</v>
      </c>
      <c r="H62" s="13"/>
      <c r="I62" s="12" t="s">
        <v>848</v>
      </c>
      <c r="J62" s="13"/>
      <c r="K62" s="12" t="s">
        <v>848</v>
      </c>
      <c r="L62" s="13"/>
      <c r="M62" s="12" t="s">
        <v>450</v>
      </c>
      <c r="N62" s="12" t="s">
        <v>447</v>
      </c>
      <c r="O62" s="12" t="str">
        <f>IF(TabelaRespostas[[#This Row],[Momento do Envio]]&gt;=1,"SIM","NÃO")</f>
        <v>SIM</v>
      </c>
      <c r="P62" s="12" t="s">
        <v>876</v>
      </c>
      <c r="Q62" s="14"/>
    </row>
    <row r="63" spans="1:17" ht="15" customHeight="1" x14ac:dyDescent="0.3">
      <c r="A63" s="15">
        <v>46026.660416666666</v>
      </c>
      <c r="B63" s="12" t="s">
        <v>417</v>
      </c>
      <c r="C63" s="12" t="s">
        <v>443</v>
      </c>
      <c r="D63" s="12"/>
      <c r="E63" s="12" t="s">
        <v>848</v>
      </c>
      <c r="F63" s="13"/>
      <c r="G63" s="12" t="s">
        <v>848</v>
      </c>
      <c r="H63" s="13"/>
      <c r="I63" s="12" t="s">
        <v>848</v>
      </c>
      <c r="J63" s="13"/>
      <c r="K63" s="12" t="s">
        <v>848</v>
      </c>
      <c r="L63" s="13"/>
      <c r="M63" s="12" t="s">
        <v>450</v>
      </c>
      <c r="N63" s="12" t="s">
        <v>447</v>
      </c>
      <c r="O63" s="12" t="str">
        <f>IF(TabelaRespostas[[#This Row],[Momento do Envio]]&gt;=1,"SIM","NÃO")</f>
        <v>SIM</v>
      </c>
      <c r="P63" s="12" t="s">
        <v>876</v>
      </c>
      <c r="Q63" s="14"/>
    </row>
    <row r="64" spans="1:17" ht="15" customHeight="1" x14ac:dyDescent="0.3">
      <c r="A64" s="15">
        <v>46026.660416666666</v>
      </c>
      <c r="B64" s="12" t="s">
        <v>417</v>
      </c>
      <c r="C64" s="12" t="s">
        <v>447</v>
      </c>
      <c r="D64" s="12"/>
      <c r="E64" s="12" t="s">
        <v>848</v>
      </c>
      <c r="F64" s="13"/>
      <c r="G64" s="12" t="s">
        <v>848</v>
      </c>
      <c r="H64" s="13"/>
      <c r="I64" s="12" t="s">
        <v>848</v>
      </c>
      <c r="J64" s="13"/>
      <c r="K64" s="12" t="s">
        <v>848</v>
      </c>
      <c r="L64" s="13"/>
      <c r="M64" s="12" t="s">
        <v>450</v>
      </c>
      <c r="N64" s="12" t="s">
        <v>443</v>
      </c>
      <c r="O64" s="12" t="str">
        <f>IF(TabelaRespostas[[#This Row],[Momento do Envio]]&gt;=1,"SIM","NÃO")</f>
        <v>SIM</v>
      </c>
      <c r="P64" s="12" t="s">
        <v>876</v>
      </c>
      <c r="Q64" s="14"/>
    </row>
    <row r="65" spans="1:17" ht="15" customHeight="1" x14ac:dyDescent="0.3">
      <c r="A65" s="15">
        <v>46026.660416666666</v>
      </c>
      <c r="B65" s="12" t="s">
        <v>417</v>
      </c>
      <c r="C65" s="12" t="s">
        <v>447</v>
      </c>
      <c r="D65" s="12"/>
      <c r="E65" s="12" t="s">
        <v>848</v>
      </c>
      <c r="F65" s="13"/>
      <c r="G65" s="12" t="s">
        <v>848</v>
      </c>
      <c r="H65" s="13"/>
      <c r="I65" s="12" t="s">
        <v>848</v>
      </c>
      <c r="J65" s="13"/>
      <c r="K65" s="12" t="s">
        <v>848</v>
      </c>
      <c r="L65" s="13"/>
      <c r="M65" s="12" t="s">
        <v>450</v>
      </c>
      <c r="N65" s="12" t="s">
        <v>443</v>
      </c>
      <c r="O65" s="12" t="str">
        <f>IF(TabelaRespostas[[#This Row],[Momento do Envio]]&gt;=1,"SIM","NÃO")</f>
        <v>SIM</v>
      </c>
      <c r="P65" s="12" t="s">
        <v>876</v>
      </c>
      <c r="Q65" s="14"/>
    </row>
    <row r="66" spans="1:17" ht="15" customHeight="1" x14ac:dyDescent="0.3">
      <c r="A66" s="15">
        <v>46026.660416666666</v>
      </c>
      <c r="B66" s="12" t="s">
        <v>417</v>
      </c>
      <c r="C66" s="12" t="s">
        <v>450</v>
      </c>
      <c r="D66" s="12"/>
      <c r="E66" s="12" t="s">
        <v>848</v>
      </c>
      <c r="F66" s="13"/>
      <c r="G66" s="12" t="s">
        <v>848</v>
      </c>
      <c r="H66" s="13"/>
      <c r="I66" s="12" t="s">
        <v>848</v>
      </c>
      <c r="J66" s="13"/>
      <c r="K66" s="12" t="s">
        <v>848</v>
      </c>
      <c r="L66" s="13"/>
      <c r="M66" s="12" t="s">
        <v>447</v>
      </c>
      <c r="N66" s="12" t="s">
        <v>443</v>
      </c>
      <c r="O66" s="12" t="str">
        <f>IF(TabelaRespostas[[#This Row],[Momento do Envio]]&gt;=1,"SIM","NÃO")</f>
        <v>SIM</v>
      </c>
      <c r="P66" s="12" t="s">
        <v>876</v>
      </c>
      <c r="Q66" s="14"/>
    </row>
    <row r="67" spans="1:17" ht="15" customHeight="1" x14ac:dyDescent="0.3">
      <c r="A67" s="15">
        <v>46026.660416666666</v>
      </c>
      <c r="B67" s="12" t="s">
        <v>417</v>
      </c>
      <c r="C67" s="12" t="s">
        <v>450</v>
      </c>
      <c r="D67" s="12"/>
      <c r="E67" s="12" t="s">
        <v>848</v>
      </c>
      <c r="F67" s="13"/>
      <c r="G67" s="12" t="s">
        <v>848</v>
      </c>
      <c r="H67" s="13"/>
      <c r="I67" s="12" t="s">
        <v>848</v>
      </c>
      <c r="J67" s="13"/>
      <c r="K67" s="12" t="s">
        <v>848</v>
      </c>
      <c r="L67" s="13"/>
      <c r="M67" s="12" t="s">
        <v>447</v>
      </c>
      <c r="N67" s="12" t="s">
        <v>443</v>
      </c>
      <c r="O67" s="12" t="str">
        <f>IF(TabelaRespostas[[#This Row],[Momento do Envio]]&gt;=1,"SIM","NÃO")</f>
        <v>SIM</v>
      </c>
      <c r="P67" s="12" t="s">
        <v>876</v>
      </c>
      <c r="Q67" s="14"/>
    </row>
    <row r="68" spans="1:17" ht="15" customHeight="1" x14ac:dyDescent="0.3">
      <c r="A68" s="15">
        <v>46026.660416666666</v>
      </c>
      <c r="B68" s="12" t="s">
        <v>417</v>
      </c>
      <c r="C68" s="12" t="s">
        <v>453</v>
      </c>
      <c r="D68" s="12"/>
      <c r="E68" s="12" t="s">
        <v>848</v>
      </c>
      <c r="F68" s="13"/>
      <c r="G68" s="12" t="s">
        <v>848</v>
      </c>
      <c r="H68" s="13"/>
      <c r="I68" s="12" t="s">
        <v>848</v>
      </c>
      <c r="J68" s="13"/>
      <c r="K68" s="12" t="s">
        <v>848</v>
      </c>
      <c r="L68" s="13"/>
      <c r="M68" s="12" t="s">
        <v>341</v>
      </c>
      <c r="N68" s="12" t="s">
        <v>270</v>
      </c>
      <c r="O68" s="12" t="str">
        <f>IF(TabelaRespostas[[#This Row],[Momento do Envio]]&gt;=1,"SIM","NÃO")</f>
        <v>SIM</v>
      </c>
      <c r="P68" s="12" t="s">
        <v>876</v>
      </c>
      <c r="Q68" s="14"/>
    </row>
    <row r="69" spans="1:17" ht="15" customHeight="1" x14ac:dyDescent="0.3">
      <c r="A69" s="15">
        <v>46026.660416666666</v>
      </c>
      <c r="B69" s="12" t="s">
        <v>417</v>
      </c>
      <c r="C69" s="12" t="s">
        <v>453</v>
      </c>
      <c r="D69" s="12"/>
      <c r="E69" s="12" t="s">
        <v>848</v>
      </c>
      <c r="F69" s="13"/>
      <c r="G69" s="12" t="s">
        <v>848</v>
      </c>
      <c r="H69" s="13"/>
      <c r="I69" s="12" t="s">
        <v>848</v>
      </c>
      <c r="J69" s="13"/>
      <c r="K69" s="12" t="s">
        <v>848</v>
      </c>
      <c r="L69" s="13"/>
      <c r="M69" s="12" t="s">
        <v>341</v>
      </c>
      <c r="N69" s="12" t="s">
        <v>270</v>
      </c>
      <c r="O69" s="12" t="str">
        <f>IF(TabelaRespostas[[#This Row],[Momento do Envio]]&gt;=1,"SIM","NÃO")</f>
        <v>SIM</v>
      </c>
      <c r="P69" s="12" t="s">
        <v>876</v>
      </c>
      <c r="Q69" s="14"/>
    </row>
    <row r="70" spans="1:17" ht="15" customHeight="1" x14ac:dyDescent="0.3">
      <c r="A70" s="15">
        <v>46026.664583333331</v>
      </c>
      <c r="B70" s="12" t="s">
        <v>165</v>
      </c>
      <c r="C70" s="12" t="s">
        <v>168</v>
      </c>
      <c r="D70" s="12"/>
      <c r="E70" s="12" t="s">
        <v>848</v>
      </c>
      <c r="F70" s="13"/>
      <c r="G70" s="12" t="s">
        <v>848</v>
      </c>
      <c r="H70" s="13"/>
      <c r="I70" s="12" t="s">
        <v>848</v>
      </c>
      <c r="J70" s="13"/>
      <c r="K70" s="12" t="s">
        <v>848</v>
      </c>
      <c r="L70" s="13"/>
      <c r="M70" s="12" t="s">
        <v>180</v>
      </c>
      <c r="N70" s="12" t="s">
        <v>172</v>
      </c>
      <c r="O70" s="12" t="str">
        <f>IF(TabelaRespostas[[#This Row],[Momento do Envio]]&gt;=1,"SIM","NÃO")</f>
        <v>SIM</v>
      </c>
      <c r="P70" s="12" t="s">
        <v>877</v>
      </c>
      <c r="Q70" s="14"/>
    </row>
    <row r="71" spans="1:17" ht="15" customHeight="1" x14ac:dyDescent="0.3">
      <c r="A71" s="15">
        <v>46026.664583333331</v>
      </c>
      <c r="B71" s="12" t="s">
        <v>165</v>
      </c>
      <c r="C71" s="12" t="s">
        <v>172</v>
      </c>
      <c r="D71" s="12"/>
      <c r="E71" s="12" t="s">
        <v>848</v>
      </c>
      <c r="F71" s="13"/>
      <c r="G71" s="12" t="s">
        <v>848</v>
      </c>
      <c r="H71" s="13"/>
      <c r="I71" s="12" t="s">
        <v>848</v>
      </c>
      <c r="J71" s="13"/>
      <c r="K71" s="12" t="s">
        <v>848</v>
      </c>
      <c r="L71" s="13"/>
      <c r="M71" s="12" t="s">
        <v>177</v>
      </c>
      <c r="N71" s="12" t="s">
        <v>174</v>
      </c>
      <c r="O71" s="12" t="str">
        <f>IF(TabelaRespostas[[#This Row],[Momento do Envio]]&gt;=1,"SIM","NÃO")</f>
        <v>SIM</v>
      </c>
      <c r="P71" s="12" t="s">
        <v>877</v>
      </c>
      <c r="Q71" s="14"/>
    </row>
    <row r="72" spans="1:17" ht="15" customHeight="1" x14ac:dyDescent="0.3">
      <c r="A72" s="15">
        <v>46026.664583333331</v>
      </c>
      <c r="B72" s="12" t="s">
        <v>165</v>
      </c>
      <c r="C72" s="12" t="s">
        <v>174</v>
      </c>
      <c r="D72" s="12"/>
      <c r="E72" s="12" t="s">
        <v>848</v>
      </c>
      <c r="F72" s="13"/>
      <c r="G72" s="12" t="s">
        <v>848</v>
      </c>
      <c r="H72" s="13"/>
      <c r="I72" s="12" t="s">
        <v>848</v>
      </c>
      <c r="J72" s="13"/>
      <c r="K72" s="12" t="s">
        <v>848</v>
      </c>
      <c r="L72" s="13"/>
      <c r="M72" s="12" t="s">
        <v>172</v>
      </c>
      <c r="N72" s="12" t="s">
        <v>168</v>
      </c>
      <c r="O72" s="12" t="str">
        <f>IF(TabelaRespostas[[#This Row],[Momento do Envio]]&gt;=1,"SIM","NÃO")</f>
        <v>SIM</v>
      </c>
      <c r="P72" s="12" t="s">
        <v>877</v>
      </c>
      <c r="Q72" s="14"/>
    </row>
    <row r="73" spans="1:17" ht="15" customHeight="1" x14ac:dyDescent="0.3">
      <c r="A73" s="15">
        <v>46026.664583333331</v>
      </c>
      <c r="B73" s="12" t="s">
        <v>165</v>
      </c>
      <c r="C73" s="12" t="s">
        <v>177</v>
      </c>
      <c r="D73" s="12"/>
      <c r="E73" s="12" t="s">
        <v>848</v>
      </c>
      <c r="F73" s="13"/>
      <c r="G73" s="12" t="s">
        <v>848</v>
      </c>
      <c r="H73" s="13"/>
      <c r="I73" s="12" t="s">
        <v>848</v>
      </c>
      <c r="J73" s="13"/>
      <c r="K73" s="12" t="s">
        <v>848</v>
      </c>
      <c r="L73" s="13"/>
      <c r="M73" s="12" t="s">
        <v>172</v>
      </c>
      <c r="N73" s="12" t="s">
        <v>180</v>
      </c>
      <c r="O73" s="12" t="str">
        <f>IF(TabelaRespostas[[#This Row],[Momento do Envio]]&gt;=1,"SIM","NÃO")</f>
        <v>SIM</v>
      </c>
      <c r="P73" s="12" t="s">
        <v>877</v>
      </c>
      <c r="Q73" s="14"/>
    </row>
    <row r="74" spans="1:17" ht="15" customHeight="1" x14ac:dyDescent="0.3">
      <c r="A74" s="15">
        <v>46026.664583333331</v>
      </c>
      <c r="B74" s="12" t="s">
        <v>165</v>
      </c>
      <c r="C74" s="12" t="s">
        <v>180</v>
      </c>
      <c r="D74" s="12"/>
      <c r="E74" s="12" t="s">
        <v>848</v>
      </c>
      <c r="F74" s="13"/>
      <c r="G74" s="12" t="s">
        <v>848</v>
      </c>
      <c r="H74" s="13"/>
      <c r="I74" s="12" t="s">
        <v>848</v>
      </c>
      <c r="J74" s="13"/>
      <c r="K74" s="12" t="s">
        <v>848</v>
      </c>
      <c r="L74" s="13"/>
      <c r="M74" s="12" t="s">
        <v>168</v>
      </c>
      <c r="N74" s="12" t="s">
        <v>177</v>
      </c>
      <c r="O74" s="12" t="str">
        <f>IF(TabelaRespostas[[#This Row],[Momento do Envio]]&gt;=1,"SIM","NÃO")</f>
        <v>SIM</v>
      </c>
      <c r="P74" s="12" t="s">
        <v>877</v>
      </c>
      <c r="Q74" s="14"/>
    </row>
    <row r="75" spans="1:17" ht="15" customHeight="1" x14ac:dyDescent="0.3">
      <c r="A75" s="15">
        <v>46026.664583333331</v>
      </c>
      <c r="B75" s="12" t="s">
        <v>165</v>
      </c>
      <c r="C75" s="12" t="s">
        <v>168</v>
      </c>
      <c r="D75" s="12"/>
      <c r="E75" s="12" t="s">
        <v>848</v>
      </c>
      <c r="F75" s="13"/>
      <c r="G75" s="12" t="s">
        <v>848</v>
      </c>
      <c r="H75" s="13"/>
      <c r="I75" s="12" t="s">
        <v>848</v>
      </c>
      <c r="J75" s="13"/>
      <c r="K75" s="12" t="s">
        <v>848</v>
      </c>
      <c r="L75" s="13"/>
      <c r="M75" s="12" t="s">
        <v>180</v>
      </c>
      <c r="N75" s="12" t="s">
        <v>172</v>
      </c>
      <c r="O75" s="12" t="str">
        <f>IF(TabelaRespostas[[#This Row],[Momento do Envio]]&gt;=1,"SIM","NÃO")</f>
        <v>SIM</v>
      </c>
      <c r="P75" s="12" t="s">
        <v>877</v>
      </c>
      <c r="Q75" s="14"/>
    </row>
    <row r="76" spans="1:17" ht="15" customHeight="1" x14ac:dyDescent="0.3">
      <c r="A76" s="15">
        <v>46026.664583333331</v>
      </c>
      <c r="B76" s="12" t="s">
        <v>165</v>
      </c>
      <c r="C76" s="12" t="s">
        <v>172</v>
      </c>
      <c r="D76" s="12"/>
      <c r="E76" s="12" t="s">
        <v>848</v>
      </c>
      <c r="F76" s="13"/>
      <c r="G76" s="12" t="s">
        <v>848</v>
      </c>
      <c r="H76" s="13"/>
      <c r="I76" s="12" t="s">
        <v>848</v>
      </c>
      <c r="J76" s="13"/>
      <c r="K76" s="12" t="s">
        <v>848</v>
      </c>
      <c r="L76" s="13"/>
      <c r="M76" s="12" t="s">
        <v>177</v>
      </c>
      <c r="N76" s="12" t="s">
        <v>174</v>
      </c>
      <c r="O76" s="12" t="str">
        <f>IF(TabelaRespostas[[#This Row],[Momento do Envio]]&gt;=1,"SIM","NÃO")</f>
        <v>SIM</v>
      </c>
      <c r="P76" s="12" t="s">
        <v>877</v>
      </c>
      <c r="Q76" s="14"/>
    </row>
    <row r="77" spans="1:17" ht="15" customHeight="1" x14ac:dyDescent="0.3">
      <c r="A77" s="15">
        <v>46026.664583333331</v>
      </c>
      <c r="B77" s="12" t="s">
        <v>165</v>
      </c>
      <c r="C77" s="12" t="s">
        <v>174</v>
      </c>
      <c r="D77" s="12"/>
      <c r="E77" s="12" t="s">
        <v>848</v>
      </c>
      <c r="F77" s="13"/>
      <c r="G77" s="12" t="s">
        <v>848</v>
      </c>
      <c r="H77" s="13"/>
      <c r="I77" s="12" t="s">
        <v>848</v>
      </c>
      <c r="J77" s="13"/>
      <c r="K77" s="12" t="s">
        <v>848</v>
      </c>
      <c r="L77" s="13"/>
      <c r="M77" s="12" t="s">
        <v>172</v>
      </c>
      <c r="N77" s="12" t="s">
        <v>168</v>
      </c>
      <c r="O77" s="12" t="str">
        <f>IF(TabelaRespostas[[#This Row],[Momento do Envio]]&gt;=1,"SIM","NÃO")</f>
        <v>SIM</v>
      </c>
      <c r="P77" s="12" t="s">
        <v>877</v>
      </c>
      <c r="Q77" s="14"/>
    </row>
    <row r="78" spans="1:17" ht="15" customHeight="1" x14ac:dyDescent="0.3">
      <c r="A78" s="15">
        <v>46026.664583333331</v>
      </c>
      <c r="B78" s="12" t="s">
        <v>165</v>
      </c>
      <c r="C78" s="12" t="s">
        <v>177</v>
      </c>
      <c r="D78" s="12"/>
      <c r="E78" s="12" t="s">
        <v>848</v>
      </c>
      <c r="F78" s="13"/>
      <c r="G78" s="12" t="s">
        <v>848</v>
      </c>
      <c r="H78" s="13"/>
      <c r="I78" s="12" t="s">
        <v>848</v>
      </c>
      <c r="J78" s="13"/>
      <c r="K78" s="12" t="s">
        <v>848</v>
      </c>
      <c r="L78" s="13"/>
      <c r="M78" s="12" t="s">
        <v>172</v>
      </c>
      <c r="N78" s="12" t="s">
        <v>180</v>
      </c>
      <c r="O78" s="12" t="str">
        <f>IF(TabelaRespostas[[#This Row],[Momento do Envio]]&gt;=1,"SIM","NÃO")</f>
        <v>SIM</v>
      </c>
      <c r="P78" s="12" t="s">
        <v>877</v>
      </c>
      <c r="Q78" s="14"/>
    </row>
    <row r="79" spans="1:17" ht="15" customHeight="1" x14ac:dyDescent="0.3">
      <c r="A79" s="15">
        <v>46026.664583333331</v>
      </c>
      <c r="B79" s="12" t="s">
        <v>165</v>
      </c>
      <c r="C79" s="12" t="s">
        <v>180</v>
      </c>
      <c r="D79" s="12"/>
      <c r="E79" s="12" t="s">
        <v>848</v>
      </c>
      <c r="F79" s="13"/>
      <c r="G79" s="12" t="s">
        <v>848</v>
      </c>
      <c r="H79" s="13"/>
      <c r="I79" s="12" t="s">
        <v>848</v>
      </c>
      <c r="J79" s="13"/>
      <c r="K79" s="12" t="s">
        <v>848</v>
      </c>
      <c r="L79" s="13"/>
      <c r="M79" s="12" t="s">
        <v>168</v>
      </c>
      <c r="N79" s="12" t="s">
        <v>177</v>
      </c>
      <c r="O79" s="12" t="str">
        <f>IF(TabelaRespostas[[#This Row],[Momento do Envio]]&gt;=1,"SIM","NÃO")</f>
        <v>SIM</v>
      </c>
      <c r="P79" s="12" t="s">
        <v>877</v>
      </c>
      <c r="Q79" s="14"/>
    </row>
    <row r="80" spans="1:17" ht="15" customHeight="1" x14ac:dyDescent="0.3">
      <c r="A80" s="15">
        <v>46026.718055555553</v>
      </c>
      <c r="B80" s="12" t="s">
        <v>326</v>
      </c>
      <c r="C80" s="12" t="s">
        <v>225</v>
      </c>
      <c r="D80" s="12"/>
      <c r="E80" s="12" t="s">
        <v>848</v>
      </c>
      <c r="F80" s="13"/>
      <c r="G80" s="12" t="s">
        <v>848</v>
      </c>
      <c r="H80" s="13"/>
      <c r="I80" s="12" t="s">
        <v>848</v>
      </c>
      <c r="J80" s="13"/>
      <c r="K80" s="12" t="s">
        <v>848</v>
      </c>
      <c r="L80" s="13"/>
      <c r="M80" s="12" t="s">
        <v>502</v>
      </c>
      <c r="N80" s="12" t="s">
        <v>325</v>
      </c>
      <c r="O80" s="12" t="str">
        <f>IF(TabelaRespostas[[#This Row],[Momento do Envio]]&gt;=1,"SIM","NÃO")</f>
        <v>SIM</v>
      </c>
      <c r="P80" s="12" t="s">
        <v>878</v>
      </c>
      <c r="Q80" s="14" t="s">
        <v>879</v>
      </c>
    </row>
    <row r="81" spans="1:17" ht="15" customHeight="1" x14ac:dyDescent="0.3">
      <c r="A81" s="15">
        <v>46026.718055555553</v>
      </c>
      <c r="B81" s="12" t="s">
        <v>326</v>
      </c>
      <c r="C81" s="12" t="s">
        <v>325</v>
      </c>
      <c r="D81" s="12"/>
      <c r="E81" s="12" t="s">
        <v>848</v>
      </c>
      <c r="F81" s="13"/>
      <c r="G81" s="12" t="s">
        <v>848</v>
      </c>
      <c r="H81" s="13"/>
      <c r="I81" s="12" t="s">
        <v>848</v>
      </c>
      <c r="J81" s="13"/>
      <c r="K81" s="12" t="s">
        <v>848</v>
      </c>
      <c r="L81" s="13"/>
      <c r="M81" s="12" t="s">
        <v>502</v>
      </c>
      <c r="N81" s="12" t="s">
        <v>225</v>
      </c>
      <c r="O81" s="12" t="str">
        <f>IF(TabelaRespostas[[#This Row],[Momento do Envio]]&gt;=1,"SIM","NÃO")</f>
        <v>SIM</v>
      </c>
      <c r="P81" s="12" t="s">
        <v>878</v>
      </c>
      <c r="Q81" s="14" t="s">
        <v>879</v>
      </c>
    </row>
    <row r="82" spans="1:17" ht="15" customHeight="1" x14ac:dyDescent="0.3">
      <c r="A82" s="15">
        <v>46026.718055555553</v>
      </c>
      <c r="B82" s="12" t="s">
        <v>326</v>
      </c>
      <c r="C82" s="12" t="s">
        <v>502</v>
      </c>
      <c r="D82" s="12"/>
      <c r="E82" s="12" t="s">
        <v>848</v>
      </c>
      <c r="F82" s="13"/>
      <c r="G82" s="12" t="s">
        <v>848</v>
      </c>
      <c r="H82" s="13"/>
      <c r="I82" s="12" t="s">
        <v>848</v>
      </c>
      <c r="J82" s="13"/>
      <c r="K82" s="12" t="s">
        <v>848</v>
      </c>
      <c r="L82" s="13"/>
      <c r="M82" s="12" t="s">
        <v>225</v>
      </c>
      <c r="N82" s="12" t="s">
        <v>325</v>
      </c>
      <c r="O82" s="12" t="str">
        <f>IF(TabelaRespostas[[#This Row],[Momento do Envio]]&gt;=1,"SIM","NÃO")</f>
        <v>SIM</v>
      </c>
      <c r="P82" s="12" t="s">
        <v>878</v>
      </c>
      <c r="Q82" s="14" t="s">
        <v>879</v>
      </c>
    </row>
    <row r="83" spans="1:17" ht="15" customHeight="1" x14ac:dyDescent="0.3">
      <c r="A83" s="15">
        <v>46026.718055555553</v>
      </c>
      <c r="B83" s="12" t="s">
        <v>326</v>
      </c>
      <c r="C83" s="12" t="s">
        <v>562</v>
      </c>
      <c r="D83" s="12"/>
      <c r="E83" s="12" t="s">
        <v>848</v>
      </c>
      <c r="F83" s="13"/>
      <c r="G83" s="12" t="s">
        <v>848</v>
      </c>
      <c r="H83" s="13"/>
      <c r="I83" s="12" t="s">
        <v>848</v>
      </c>
      <c r="J83" s="13"/>
      <c r="K83" s="12" t="s">
        <v>848</v>
      </c>
      <c r="L83" s="13"/>
      <c r="M83" s="12" t="s">
        <v>566</v>
      </c>
      <c r="N83" s="12" t="s">
        <v>225</v>
      </c>
      <c r="O83" s="12" t="str">
        <f>IF(TabelaRespostas[[#This Row],[Momento do Envio]]&gt;=1,"SIM","NÃO")</f>
        <v>SIM</v>
      </c>
      <c r="P83" s="12" t="s">
        <v>878</v>
      </c>
      <c r="Q83" s="14" t="s">
        <v>879</v>
      </c>
    </row>
    <row r="84" spans="1:17" ht="15" customHeight="1" x14ac:dyDescent="0.3">
      <c r="A84" s="15">
        <v>46026.718055555553</v>
      </c>
      <c r="B84" s="12" t="s">
        <v>326</v>
      </c>
      <c r="C84" s="12" t="s">
        <v>566</v>
      </c>
      <c r="D84" s="12"/>
      <c r="E84" s="12" t="s">
        <v>848</v>
      </c>
      <c r="F84" s="13"/>
      <c r="G84" s="12" t="s">
        <v>848</v>
      </c>
      <c r="H84" s="13"/>
      <c r="I84" s="12" t="s">
        <v>848</v>
      </c>
      <c r="J84" s="13"/>
      <c r="K84" s="12" t="s">
        <v>848</v>
      </c>
      <c r="L84" s="13"/>
      <c r="M84" s="12" t="s">
        <v>562</v>
      </c>
      <c r="N84" s="12" t="s">
        <v>231</v>
      </c>
      <c r="O84" s="12" t="str">
        <f>IF(TabelaRespostas[[#This Row],[Momento do Envio]]&gt;=1,"SIM","NÃO")</f>
        <v>SIM</v>
      </c>
      <c r="P84" s="12" t="s">
        <v>878</v>
      </c>
      <c r="Q84" s="14" t="s">
        <v>879</v>
      </c>
    </row>
    <row r="85" spans="1:17" ht="15" customHeight="1" x14ac:dyDescent="0.3">
      <c r="A85" s="15">
        <v>46026.718055555553</v>
      </c>
      <c r="B85" s="12" t="s">
        <v>326</v>
      </c>
      <c r="C85" s="12" t="s">
        <v>514</v>
      </c>
      <c r="D85" s="12"/>
      <c r="E85" s="12" t="s">
        <v>848</v>
      </c>
      <c r="F85" s="13"/>
      <c r="G85" s="12" t="s">
        <v>848</v>
      </c>
      <c r="H85" s="13"/>
      <c r="I85" s="12" t="s">
        <v>848</v>
      </c>
      <c r="J85" s="13"/>
      <c r="K85" s="12" t="s">
        <v>848</v>
      </c>
      <c r="L85" s="13"/>
      <c r="M85" s="12" t="s">
        <v>504</v>
      </c>
      <c r="N85" s="12" t="s">
        <v>325</v>
      </c>
      <c r="O85" s="12" t="str">
        <f>IF(TabelaRespostas[[#This Row],[Momento do Envio]]&gt;=1,"SIM","NÃO")</f>
        <v>SIM</v>
      </c>
      <c r="P85" s="12" t="s">
        <v>878</v>
      </c>
      <c r="Q85" s="14" t="s">
        <v>879</v>
      </c>
    </row>
    <row r="86" spans="1:17" ht="15" customHeight="1" x14ac:dyDescent="0.3">
      <c r="A86" s="15">
        <v>46026.718055555553</v>
      </c>
      <c r="B86" s="12" t="s">
        <v>326</v>
      </c>
      <c r="C86" s="12" t="s">
        <v>165</v>
      </c>
      <c r="D86" s="12"/>
      <c r="E86" s="12" t="s">
        <v>848</v>
      </c>
      <c r="F86" s="13"/>
      <c r="G86" s="12" t="s">
        <v>848</v>
      </c>
      <c r="H86" s="13"/>
      <c r="I86" s="12" t="s">
        <v>848</v>
      </c>
      <c r="J86" s="13"/>
      <c r="K86" s="12" t="s">
        <v>848</v>
      </c>
      <c r="L86" s="13"/>
      <c r="M86" s="12" t="s">
        <v>225</v>
      </c>
      <c r="N86" s="12" t="s">
        <v>325</v>
      </c>
      <c r="O86" s="12" t="str">
        <f>IF(TabelaRespostas[[#This Row],[Momento do Envio]]&gt;=1,"SIM","NÃO")</f>
        <v>SIM</v>
      </c>
      <c r="P86" s="12" t="s">
        <v>878</v>
      </c>
      <c r="Q86" s="14" t="s">
        <v>879</v>
      </c>
    </row>
    <row r="87" spans="1:17" ht="15" customHeight="1" x14ac:dyDescent="0.3">
      <c r="A87" s="15">
        <v>46026.718055555553</v>
      </c>
      <c r="B87" s="12" t="s">
        <v>326</v>
      </c>
      <c r="C87" s="12" t="s">
        <v>504</v>
      </c>
      <c r="D87" s="12"/>
      <c r="E87" s="12" t="s">
        <v>848</v>
      </c>
      <c r="F87" s="13"/>
      <c r="G87" s="12" t="s">
        <v>848</v>
      </c>
      <c r="H87" s="13"/>
      <c r="I87" s="12" t="s">
        <v>848</v>
      </c>
      <c r="J87" s="13"/>
      <c r="K87" s="12" t="s">
        <v>848</v>
      </c>
      <c r="L87" s="13"/>
      <c r="M87" s="12" t="s">
        <v>502</v>
      </c>
      <c r="N87" s="12" t="s">
        <v>514</v>
      </c>
      <c r="O87" s="12" t="str">
        <f>IF(TabelaRespostas[[#This Row],[Momento do Envio]]&gt;=1,"SIM","NÃO")</f>
        <v>SIM</v>
      </c>
      <c r="P87" s="12" t="s">
        <v>878</v>
      </c>
      <c r="Q87" s="14" t="s">
        <v>879</v>
      </c>
    </row>
    <row r="88" spans="1:17" ht="15" customHeight="1" x14ac:dyDescent="0.3">
      <c r="A88" s="15">
        <v>46026.725694444445</v>
      </c>
      <c r="B88" s="12" t="s">
        <v>297</v>
      </c>
      <c r="C88" s="12" t="s">
        <v>300</v>
      </c>
      <c r="D88" s="12"/>
      <c r="E88" s="12" t="s">
        <v>848</v>
      </c>
      <c r="F88" s="13"/>
      <c r="G88" s="12" t="s">
        <v>848</v>
      </c>
      <c r="H88" s="13"/>
      <c r="I88" s="12" t="s">
        <v>848</v>
      </c>
      <c r="J88" s="13"/>
      <c r="K88" s="12" t="s">
        <v>848</v>
      </c>
      <c r="L88" s="13"/>
      <c r="M88" s="12" t="s">
        <v>309</v>
      </c>
      <c r="N88" s="12" t="s">
        <v>307</v>
      </c>
      <c r="O88" s="12" t="str">
        <f>IF(TabelaRespostas[[#This Row],[Momento do Envio]]&gt;=1,"SIM","NÃO")</f>
        <v>SIM</v>
      </c>
      <c r="P88" s="12" t="s">
        <v>880</v>
      </c>
      <c r="Q88" s="14"/>
    </row>
    <row r="89" spans="1:17" ht="15" customHeight="1" x14ac:dyDescent="0.3">
      <c r="A89" s="15">
        <v>46026.725694444445</v>
      </c>
      <c r="B89" s="12" t="s">
        <v>297</v>
      </c>
      <c r="C89" s="12" t="s">
        <v>304</v>
      </c>
      <c r="D89" s="12"/>
      <c r="E89" s="12" t="s">
        <v>848</v>
      </c>
      <c r="F89" s="13"/>
      <c r="G89" s="12" t="s">
        <v>848</v>
      </c>
      <c r="H89" s="13"/>
      <c r="I89" s="12" t="s">
        <v>848</v>
      </c>
      <c r="J89" s="13"/>
      <c r="K89" s="12" t="s">
        <v>848</v>
      </c>
      <c r="L89" s="13"/>
      <c r="M89" s="12" t="s">
        <v>314</v>
      </c>
      <c r="N89" s="12" t="s">
        <v>307</v>
      </c>
      <c r="O89" s="12" t="str">
        <f>IF(TabelaRespostas[[#This Row],[Momento do Envio]]&gt;=1,"SIM","NÃO")</f>
        <v>SIM</v>
      </c>
      <c r="P89" s="12" t="s">
        <v>880</v>
      </c>
      <c r="Q89" s="14"/>
    </row>
    <row r="90" spans="1:17" ht="15" customHeight="1" x14ac:dyDescent="0.3">
      <c r="A90" s="15">
        <v>46026.725694444445</v>
      </c>
      <c r="B90" s="12" t="s">
        <v>297</v>
      </c>
      <c r="C90" s="12" t="s">
        <v>307</v>
      </c>
      <c r="D90" s="12"/>
      <c r="E90" s="12" t="s">
        <v>848</v>
      </c>
      <c r="F90" s="13"/>
      <c r="G90" s="12" t="s">
        <v>848</v>
      </c>
      <c r="H90" s="13"/>
      <c r="I90" s="12" t="s">
        <v>848</v>
      </c>
      <c r="J90" s="13"/>
      <c r="K90" s="12" t="s">
        <v>848</v>
      </c>
      <c r="L90" s="13"/>
      <c r="M90" s="12" t="s">
        <v>314</v>
      </c>
      <c r="N90" s="12" t="s">
        <v>304</v>
      </c>
      <c r="O90" s="12" t="str">
        <f>IF(TabelaRespostas[[#This Row],[Momento do Envio]]&gt;=1,"SIM","NÃO")</f>
        <v>SIM</v>
      </c>
      <c r="P90" s="12" t="s">
        <v>880</v>
      </c>
      <c r="Q90" s="14"/>
    </row>
    <row r="91" spans="1:17" ht="15" customHeight="1" x14ac:dyDescent="0.3">
      <c r="A91" s="15">
        <v>46026.725694444445</v>
      </c>
      <c r="B91" s="12" t="s">
        <v>297</v>
      </c>
      <c r="C91" s="12" t="s">
        <v>309</v>
      </c>
      <c r="D91" s="12"/>
      <c r="E91" s="12" t="s">
        <v>848</v>
      </c>
      <c r="F91" s="13"/>
      <c r="G91" s="12" t="s">
        <v>848</v>
      </c>
      <c r="H91" s="13"/>
      <c r="I91" s="12" t="s">
        <v>848</v>
      </c>
      <c r="J91" s="13"/>
      <c r="K91" s="12" t="s">
        <v>848</v>
      </c>
      <c r="L91" s="13"/>
      <c r="M91" s="12" t="s">
        <v>311</v>
      </c>
      <c r="N91" s="12" t="s">
        <v>300</v>
      </c>
      <c r="O91" s="12" t="str">
        <f>IF(TabelaRespostas[[#This Row],[Momento do Envio]]&gt;=1,"SIM","NÃO")</f>
        <v>SIM</v>
      </c>
      <c r="P91" s="12" t="s">
        <v>880</v>
      </c>
      <c r="Q91" s="14"/>
    </row>
    <row r="92" spans="1:17" ht="15" customHeight="1" x14ac:dyDescent="0.3">
      <c r="A92" s="15">
        <v>46026.725694444445</v>
      </c>
      <c r="B92" s="12" t="s">
        <v>297</v>
      </c>
      <c r="C92" s="12" t="s">
        <v>311</v>
      </c>
      <c r="D92" s="12"/>
      <c r="E92" s="12" t="s">
        <v>848</v>
      </c>
      <c r="F92" s="13"/>
      <c r="G92" s="12" t="s">
        <v>848</v>
      </c>
      <c r="H92" s="13"/>
      <c r="I92" s="12" t="s">
        <v>848</v>
      </c>
      <c r="J92" s="13"/>
      <c r="K92" s="12" t="s">
        <v>848</v>
      </c>
      <c r="L92" s="13"/>
      <c r="M92" s="12" t="s">
        <v>309</v>
      </c>
      <c r="N92" s="12" t="s">
        <v>300</v>
      </c>
      <c r="O92" s="12" t="str">
        <f>IF(TabelaRespostas[[#This Row],[Momento do Envio]]&gt;=1,"SIM","NÃO")</f>
        <v>SIM</v>
      </c>
      <c r="P92" s="12" t="s">
        <v>880</v>
      </c>
      <c r="Q92" s="14"/>
    </row>
    <row r="93" spans="1:17" ht="15" customHeight="1" x14ac:dyDescent="0.3">
      <c r="A93" s="15">
        <v>46026.725694444445</v>
      </c>
      <c r="B93" s="12" t="s">
        <v>297</v>
      </c>
      <c r="C93" s="12" t="s">
        <v>314</v>
      </c>
      <c r="D93" s="12"/>
      <c r="E93" s="12" t="s">
        <v>848</v>
      </c>
      <c r="F93" s="13"/>
      <c r="G93" s="12" t="s">
        <v>848</v>
      </c>
      <c r="H93" s="13"/>
      <c r="I93" s="12" t="s">
        <v>848</v>
      </c>
      <c r="J93" s="13"/>
      <c r="K93" s="12" t="s">
        <v>848</v>
      </c>
      <c r="L93" s="13"/>
      <c r="M93" s="12" t="s">
        <v>304</v>
      </c>
      <c r="N93" s="12" t="s">
        <v>307</v>
      </c>
      <c r="O93" s="12" t="str">
        <f>IF(TabelaRespostas[[#This Row],[Momento do Envio]]&gt;=1,"SIM","NÃO")</f>
        <v>SIM</v>
      </c>
      <c r="P93" s="12" t="s">
        <v>880</v>
      </c>
      <c r="Q93" s="14"/>
    </row>
    <row r="94" spans="1:17" ht="15" customHeight="1" x14ac:dyDescent="0.3">
      <c r="A94" s="15">
        <v>46026.727777777778</v>
      </c>
      <c r="B94" s="12" t="s">
        <v>650</v>
      </c>
      <c r="C94" s="12" t="s">
        <v>652</v>
      </c>
      <c r="D94" s="12"/>
      <c r="E94" s="12" t="s">
        <v>848</v>
      </c>
      <c r="F94" s="13"/>
      <c r="G94" s="12" t="s">
        <v>848</v>
      </c>
      <c r="H94" s="13"/>
      <c r="I94" s="12" t="s">
        <v>848</v>
      </c>
      <c r="J94" s="13"/>
      <c r="K94" s="12" t="s">
        <v>862</v>
      </c>
      <c r="L94" s="13"/>
      <c r="M94" s="12" t="s">
        <v>654</v>
      </c>
      <c r="N94" s="12" t="s">
        <v>881</v>
      </c>
      <c r="O94" s="12" t="str">
        <f>IF(TabelaRespostas[[#This Row],[Momento do Envio]]&gt;=1,"SIM","NÃO")</f>
        <v>SIM</v>
      </c>
      <c r="P94" s="12" t="s">
        <v>882</v>
      </c>
      <c r="Q94" s="14" t="s">
        <v>883</v>
      </c>
    </row>
    <row r="95" spans="1:17" ht="15" customHeight="1" x14ac:dyDescent="0.3">
      <c r="A95" s="15">
        <v>46026.727777777778</v>
      </c>
      <c r="B95" s="12" t="s">
        <v>650</v>
      </c>
      <c r="C95" s="12" t="s">
        <v>654</v>
      </c>
      <c r="D95" s="12"/>
      <c r="E95" s="12" t="s">
        <v>848</v>
      </c>
      <c r="F95" s="13"/>
      <c r="G95" s="12" t="s">
        <v>848</v>
      </c>
      <c r="H95" s="13"/>
      <c r="I95" s="12" t="s">
        <v>848</v>
      </c>
      <c r="J95" s="13"/>
      <c r="K95" s="12" t="s">
        <v>862</v>
      </c>
      <c r="L95" s="13"/>
      <c r="M95" s="12" t="s">
        <v>652</v>
      </c>
      <c r="N95" s="12" t="s">
        <v>881</v>
      </c>
      <c r="O95" s="12" t="str">
        <f>IF(TabelaRespostas[[#This Row],[Momento do Envio]]&gt;=1,"SIM","NÃO")</f>
        <v>SIM</v>
      </c>
      <c r="P95" s="12" t="s">
        <v>882</v>
      </c>
      <c r="Q95" s="14" t="s">
        <v>883</v>
      </c>
    </row>
    <row r="96" spans="1:17" ht="15" customHeight="1" x14ac:dyDescent="0.3">
      <c r="A96" s="15">
        <v>46057.397222222222</v>
      </c>
      <c r="B96" s="12" t="s">
        <v>371</v>
      </c>
      <c r="C96" s="12" t="s">
        <v>373</v>
      </c>
      <c r="D96" s="12"/>
      <c r="E96" s="12" t="s">
        <v>848</v>
      </c>
      <c r="F96" s="13"/>
      <c r="G96" s="12" t="s">
        <v>848</v>
      </c>
      <c r="H96" s="13"/>
      <c r="I96" s="12" t="s">
        <v>848</v>
      </c>
      <c r="J96" s="13"/>
      <c r="K96" s="12" t="s">
        <v>848</v>
      </c>
      <c r="L96" s="13"/>
      <c r="M96" s="12" t="s">
        <v>774</v>
      </c>
      <c r="N96" s="12" t="s">
        <v>652</v>
      </c>
      <c r="O96" s="12" t="str">
        <f>IF(TabelaRespostas[[#This Row],[Momento do Envio]]&gt;=1,"SIM","NÃO")</f>
        <v>SIM</v>
      </c>
      <c r="P96" s="12" t="s">
        <v>884</v>
      </c>
      <c r="Q96" s="14"/>
    </row>
    <row r="97" spans="1:17" ht="15" customHeight="1" x14ac:dyDescent="0.3">
      <c r="A97" s="15">
        <v>46057.404861111114</v>
      </c>
      <c r="B97" s="12" t="s">
        <v>156</v>
      </c>
      <c r="C97" s="12" t="s">
        <v>326</v>
      </c>
      <c r="D97" s="12"/>
      <c r="E97" s="12" t="s">
        <v>848</v>
      </c>
      <c r="F97" s="13"/>
      <c r="G97" s="12" t="s">
        <v>848</v>
      </c>
      <c r="H97" s="13"/>
      <c r="I97" s="12" t="s">
        <v>848</v>
      </c>
      <c r="J97" s="13"/>
      <c r="K97" s="12" t="s">
        <v>848</v>
      </c>
      <c r="L97" s="13"/>
      <c r="M97" s="12" t="s">
        <v>183</v>
      </c>
      <c r="N97" s="12" t="s">
        <v>29</v>
      </c>
      <c r="O97" s="12" t="str">
        <f>IF(TabelaRespostas[[#This Row],[Momento do Envio]]&gt;=1,"SIM","NÃO")</f>
        <v>SIM</v>
      </c>
      <c r="P97" s="12" t="s">
        <v>885</v>
      </c>
      <c r="Q97" s="14"/>
    </row>
    <row r="98" spans="1:17" ht="15" customHeight="1" x14ac:dyDescent="0.3">
      <c r="A98" s="15">
        <v>46057.442361111112</v>
      </c>
      <c r="B98" s="12" t="s">
        <v>148</v>
      </c>
      <c r="C98" s="12" t="s">
        <v>395</v>
      </c>
      <c r="D98" s="12"/>
      <c r="E98" s="12" t="s">
        <v>848</v>
      </c>
      <c r="F98" s="13"/>
      <c r="G98" s="12" t="s">
        <v>848</v>
      </c>
      <c r="H98" s="13"/>
      <c r="I98" s="12" t="s">
        <v>848</v>
      </c>
      <c r="J98" s="13"/>
      <c r="K98" s="12" t="s">
        <v>848</v>
      </c>
      <c r="L98" s="13"/>
      <c r="M98" s="12" t="s">
        <v>183</v>
      </c>
      <c r="N98" s="12" t="s">
        <v>326</v>
      </c>
      <c r="O98" s="12" t="str">
        <f>IF(TabelaRespostas[[#This Row],[Momento do Envio]]&gt;=1,"SIM","NÃO")</f>
        <v>SIM</v>
      </c>
      <c r="P98" s="12" t="s">
        <v>886</v>
      </c>
      <c r="Q98" s="14"/>
    </row>
    <row r="99" spans="1:17" ht="15" customHeight="1" x14ac:dyDescent="0.3">
      <c r="A99" s="15">
        <v>46057.442361111112</v>
      </c>
      <c r="B99" s="12" t="s">
        <v>148</v>
      </c>
      <c r="C99" s="12" t="s">
        <v>183</v>
      </c>
      <c r="D99" s="12"/>
      <c r="E99" s="12" t="s">
        <v>848</v>
      </c>
      <c r="F99" s="13"/>
      <c r="G99" s="12" t="s">
        <v>848</v>
      </c>
      <c r="H99" s="13"/>
      <c r="I99" s="12" t="s">
        <v>848</v>
      </c>
      <c r="J99" s="13"/>
      <c r="K99" s="12" t="s">
        <v>848</v>
      </c>
      <c r="L99" s="13"/>
      <c r="M99" s="12" t="s">
        <v>395</v>
      </c>
      <c r="N99" s="12" t="s">
        <v>291</v>
      </c>
      <c r="O99" s="12" t="str">
        <f>IF(TabelaRespostas[[#This Row],[Momento do Envio]]&gt;=1,"SIM","NÃO")</f>
        <v>SIM</v>
      </c>
      <c r="P99" s="12" t="s">
        <v>886</v>
      </c>
      <c r="Q99" s="14"/>
    </row>
    <row r="100" spans="1:17" ht="15" customHeight="1" x14ac:dyDescent="0.3">
      <c r="A100" s="15">
        <v>46057.720138888886</v>
      </c>
      <c r="B100" s="12" t="s">
        <v>111</v>
      </c>
      <c r="C100" s="12" t="s">
        <v>114</v>
      </c>
      <c r="D100" s="12"/>
      <c r="E100" s="12" t="s">
        <v>848</v>
      </c>
      <c r="F100" s="13"/>
      <c r="G100" s="12" t="s">
        <v>848</v>
      </c>
      <c r="H100" s="13"/>
      <c r="I100" s="12" t="s">
        <v>848</v>
      </c>
      <c r="J100" s="13"/>
      <c r="K100" s="12" t="s">
        <v>848</v>
      </c>
      <c r="L100" s="13"/>
      <c r="M100" s="12" t="s">
        <v>123</v>
      </c>
      <c r="N100" s="12" t="s">
        <v>120</v>
      </c>
      <c r="O100" s="12" t="str">
        <f>IF(TabelaRespostas[[#This Row],[Momento do Envio]]&gt;=1,"SIM","NÃO")</f>
        <v>SIM</v>
      </c>
      <c r="P100" s="12" t="s">
        <v>887</v>
      </c>
      <c r="Q100" s="14"/>
    </row>
    <row r="101" spans="1:17" ht="15" customHeight="1" x14ac:dyDescent="0.3">
      <c r="A101" s="15">
        <v>46057.720138888886</v>
      </c>
      <c r="B101" s="12" t="s">
        <v>111</v>
      </c>
      <c r="C101" s="12" t="s">
        <v>117</v>
      </c>
      <c r="D101" s="12"/>
      <c r="E101" s="12" t="s">
        <v>848</v>
      </c>
      <c r="F101" s="13"/>
      <c r="G101" s="12" t="s">
        <v>848</v>
      </c>
      <c r="H101" s="13"/>
      <c r="I101" s="12" t="s">
        <v>848</v>
      </c>
      <c r="J101" s="13"/>
      <c r="K101" s="12" t="s">
        <v>848</v>
      </c>
      <c r="L101" s="13"/>
      <c r="M101" s="12" t="s">
        <v>114</v>
      </c>
      <c r="N101" s="12" t="s">
        <v>120</v>
      </c>
      <c r="O101" s="12" t="str">
        <f>IF(TabelaRespostas[[#This Row],[Momento do Envio]]&gt;=1,"SIM","NÃO")</f>
        <v>SIM</v>
      </c>
      <c r="P101" s="12" t="s">
        <v>887</v>
      </c>
      <c r="Q101" s="14"/>
    </row>
    <row r="102" spans="1:17" ht="15" customHeight="1" x14ac:dyDescent="0.3">
      <c r="A102" s="15">
        <v>46057.720138888886</v>
      </c>
      <c r="B102" s="12" t="s">
        <v>111</v>
      </c>
      <c r="C102" s="12" t="s">
        <v>120</v>
      </c>
      <c r="D102" s="12"/>
      <c r="E102" s="12" t="s">
        <v>848</v>
      </c>
      <c r="F102" s="13"/>
      <c r="G102" s="12" t="s">
        <v>848</v>
      </c>
      <c r="H102" s="13"/>
      <c r="I102" s="12" t="s">
        <v>848</v>
      </c>
      <c r="J102" s="13"/>
      <c r="K102" s="12" t="s">
        <v>848</v>
      </c>
      <c r="L102" s="13"/>
      <c r="M102" s="12" t="s">
        <v>114</v>
      </c>
      <c r="N102" s="12" t="s">
        <v>123</v>
      </c>
      <c r="O102" s="12" t="str">
        <f>IF(TabelaRespostas[[#This Row],[Momento do Envio]]&gt;=1,"SIM","NÃO")</f>
        <v>SIM</v>
      </c>
      <c r="P102" s="12" t="s">
        <v>887</v>
      </c>
      <c r="Q102" s="14"/>
    </row>
    <row r="103" spans="1:17" ht="15" customHeight="1" x14ac:dyDescent="0.3">
      <c r="A103" s="15">
        <v>46057.720138888886</v>
      </c>
      <c r="B103" s="12" t="s">
        <v>111</v>
      </c>
      <c r="C103" s="12" t="s">
        <v>123</v>
      </c>
      <c r="D103" s="12"/>
      <c r="E103" s="12" t="s">
        <v>848</v>
      </c>
      <c r="F103" s="13"/>
      <c r="G103" s="12" t="s">
        <v>848</v>
      </c>
      <c r="H103" s="13"/>
      <c r="I103" s="12" t="s">
        <v>848</v>
      </c>
      <c r="J103" s="13"/>
      <c r="K103" s="12" t="s">
        <v>848</v>
      </c>
      <c r="L103" s="13"/>
      <c r="M103" s="12" t="s">
        <v>120</v>
      </c>
      <c r="N103" s="12" t="s">
        <v>114</v>
      </c>
      <c r="O103" s="12" t="str">
        <f>IF(TabelaRespostas[[#This Row],[Momento do Envio]]&gt;=1,"SIM","NÃO")</f>
        <v>SIM</v>
      </c>
      <c r="P103" s="12" t="s">
        <v>887</v>
      </c>
      <c r="Q103" s="14"/>
    </row>
    <row r="104" spans="1:17" ht="15" customHeight="1" x14ac:dyDescent="0.3">
      <c r="A104" s="15">
        <v>46057.720138888886</v>
      </c>
      <c r="B104" s="12" t="s">
        <v>111</v>
      </c>
      <c r="C104" s="12" t="s">
        <v>126</v>
      </c>
      <c r="D104" s="12"/>
      <c r="E104" s="12" t="s">
        <v>848</v>
      </c>
      <c r="F104" s="13"/>
      <c r="G104" s="12" t="s">
        <v>848</v>
      </c>
      <c r="H104" s="13"/>
      <c r="I104" s="12" t="s">
        <v>848</v>
      </c>
      <c r="J104" s="13"/>
      <c r="K104" s="12" t="s">
        <v>848</v>
      </c>
      <c r="L104" s="13"/>
      <c r="M104" s="12" t="s">
        <v>132</v>
      </c>
      <c r="N104" s="12" t="s">
        <v>134</v>
      </c>
      <c r="O104" s="12" t="str">
        <f>IF(TabelaRespostas[[#This Row],[Momento do Envio]]&gt;=1,"SIM","NÃO")</f>
        <v>SIM</v>
      </c>
      <c r="P104" s="12" t="s">
        <v>887</v>
      </c>
      <c r="Q104" s="14"/>
    </row>
    <row r="105" spans="1:17" ht="15" customHeight="1" x14ac:dyDescent="0.3">
      <c r="A105" s="15">
        <v>46057.720138888886</v>
      </c>
      <c r="B105" s="12" t="s">
        <v>111</v>
      </c>
      <c r="C105" s="12" t="s">
        <v>130</v>
      </c>
      <c r="D105" s="12"/>
      <c r="E105" s="12" t="s">
        <v>848</v>
      </c>
      <c r="F105" s="13"/>
      <c r="G105" s="12" t="s">
        <v>848</v>
      </c>
      <c r="H105" s="13"/>
      <c r="I105" s="12" t="s">
        <v>848</v>
      </c>
      <c r="J105" s="13"/>
      <c r="K105" s="12" t="s">
        <v>848</v>
      </c>
      <c r="L105" s="13"/>
      <c r="M105" s="12" t="s">
        <v>134</v>
      </c>
      <c r="N105" s="12" t="s">
        <v>126</v>
      </c>
      <c r="O105" s="12" t="str">
        <f>IF(TabelaRespostas[[#This Row],[Momento do Envio]]&gt;=1,"SIM","NÃO")</f>
        <v>SIM</v>
      </c>
      <c r="P105" s="12" t="s">
        <v>887</v>
      </c>
      <c r="Q105" s="14"/>
    </row>
    <row r="106" spans="1:17" ht="15" customHeight="1" x14ac:dyDescent="0.3">
      <c r="A106" s="15">
        <v>46057.720138888886</v>
      </c>
      <c r="B106" s="12" t="s">
        <v>111</v>
      </c>
      <c r="C106" s="12" t="s">
        <v>132</v>
      </c>
      <c r="D106" s="12"/>
      <c r="E106" s="12" t="s">
        <v>848</v>
      </c>
      <c r="F106" s="13"/>
      <c r="G106" s="12" t="s">
        <v>848</v>
      </c>
      <c r="H106" s="13"/>
      <c r="I106" s="12" t="s">
        <v>848</v>
      </c>
      <c r="J106" s="13"/>
      <c r="K106" s="12" t="s">
        <v>848</v>
      </c>
      <c r="L106" s="13"/>
      <c r="M106" s="12" t="s">
        <v>130</v>
      </c>
      <c r="N106" s="12" t="s">
        <v>126</v>
      </c>
      <c r="O106" s="12" t="str">
        <f>IF(TabelaRespostas[[#This Row],[Momento do Envio]]&gt;=1,"SIM","NÃO")</f>
        <v>SIM</v>
      </c>
      <c r="P106" s="12" t="s">
        <v>887</v>
      </c>
      <c r="Q106" s="14"/>
    </row>
    <row r="107" spans="1:17" ht="15" customHeight="1" x14ac:dyDescent="0.3">
      <c r="A107" s="15">
        <v>46057.720138888886</v>
      </c>
      <c r="B107" s="12" t="s">
        <v>111</v>
      </c>
      <c r="C107" s="12" t="s">
        <v>134</v>
      </c>
      <c r="D107" s="12"/>
      <c r="E107" s="12" t="s">
        <v>848</v>
      </c>
      <c r="F107" s="13"/>
      <c r="G107" s="12" t="s">
        <v>848</v>
      </c>
      <c r="H107" s="13"/>
      <c r="I107" s="12" t="s">
        <v>848</v>
      </c>
      <c r="J107" s="13"/>
      <c r="K107" s="12" t="s">
        <v>848</v>
      </c>
      <c r="L107" s="13"/>
      <c r="M107" s="12" t="s">
        <v>136</v>
      </c>
      <c r="N107" s="12" t="s">
        <v>132</v>
      </c>
      <c r="O107" s="12" t="str">
        <f>IF(TabelaRespostas[[#This Row],[Momento do Envio]]&gt;=1,"SIM","NÃO")</f>
        <v>SIM</v>
      </c>
      <c r="P107" s="12" t="s">
        <v>887</v>
      </c>
      <c r="Q107" s="14"/>
    </row>
    <row r="108" spans="1:17" ht="15" customHeight="1" x14ac:dyDescent="0.3">
      <c r="A108" s="15">
        <v>46057.720138888886</v>
      </c>
      <c r="B108" s="12" t="s">
        <v>111</v>
      </c>
      <c r="C108" s="12" t="s">
        <v>136</v>
      </c>
      <c r="D108" s="12"/>
      <c r="E108" s="12" t="s">
        <v>848</v>
      </c>
      <c r="F108" s="13"/>
      <c r="G108" s="12" t="s">
        <v>848</v>
      </c>
      <c r="H108" s="13"/>
      <c r="I108" s="12" t="s">
        <v>848</v>
      </c>
      <c r="J108" s="13"/>
      <c r="K108" s="12" t="s">
        <v>848</v>
      </c>
      <c r="L108" s="13"/>
      <c r="M108" s="12" t="s">
        <v>130</v>
      </c>
      <c r="N108" s="12" t="s">
        <v>134</v>
      </c>
      <c r="O108" s="12" t="str">
        <f>IF(TabelaRespostas[[#This Row],[Momento do Envio]]&gt;=1,"SIM","NÃO")</f>
        <v>SIM</v>
      </c>
      <c r="P108" s="12" t="s">
        <v>887</v>
      </c>
      <c r="Q108" s="14"/>
    </row>
    <row r="109" spans="1:17" ht="15" customHeight="1" x14ac:dyDescent="0.3">
      <c r="A109" s="15">
        <v>46207.743055555555</v>
      </c>
      <c r="B109" s="12" t="s">
        <v>182</v>
      </c>
      <c r="C109" s="12" t="s">
        <v>185</v>
      </c>
      <c r="D109" s="12"/>
      <c r="E109" s="12" t="s">
        <v>848</v>
      </c>
      <c r="F109" s="13"/>
      <c r="G109" s="12" t="s">
        <v>848</v>
      </c>
      <c r="H109" s="13"/>
      <c r="I109" s="12" t="s">
        <v>848</v>
      </c>
      <c r="J109" s="13"/>
      <c r="K109" s="12" t="s">
        <v>848</v>
      </c>
      <c r="L109" s="13"/>
      <c r="M109" s="12" t="s">
        <v>193</v>
      </c>
      <c r="N109" s="12" t="s">
        <v>202</v>
      </c>
      <c r="O109" s="12" t="str">
        <f>IF(TabelaRespostas[[#This Row],[Momento do Envio]]&gt;=1,"SIM","NÃO")</f>
        <v>SIM</v>
      </c>
      <c r="P109" s="12" t="s">
        <v>888</v>
      </c>
      <c r="Q109" s="14"/>
    </row>
    <row r="110" spans="1:17" ht="15" customHeight="1" x14ac:dyDescent="0.3">
      <c r="A110" s="15">
        <v>46207.743055555555</v>
      </c>
      <c r="B110" s="12" t="s">
        <v>182</v>
      </c>
      <c r="C110" s="12" t="s">
        <v>189</v>
      </c>
      <c r="D110" s="12"/>
      <c r="E110" s="12" t="s">
        <v>848</v>
      </c>
      <c r="F110" s="13"/>
      <c r="G110" s="12" t="s">
        <v>848</v>
      </c>
      <c r="H110" s="13"/>
      <c r="I110" s="12" t="s">
        <v>848</v>
      </c>
      <c r="J110" s="13"/>
      <c r="K110" s="12" t="s">
        <v>848</v>
      </c>
      <c r="L110" s="13"/>
      <c r="M110" s="12" t="s">
        <v>193</v>
      </c>
      <c r="N110" s="12" t="s">
        <v>191</v>
      </c>
      <c r="O110" s="12" t="str">
        <f>IF(TabelaRespostas[[#This Row],[Momento do Envio]]&gt;=1,"SIM","NÃO")</f>
        <v>SIM</v>
      </c>
      <c r="P110" s="12" t="s">
        <v>888</v>
      </c>
      <c r="Q110" s="14"/>
    </row>
    <row r="111" spans="1:17" ht="15" customHeight="1" x14ac:dyDescent="0.3">
      <c r="A111" s="15">
        <v>46207.743055555555</v>
      </c>
      <c r="B111" s="12" t="s">
        <v>182</v>
      </c>
      <c r="C111" s="12" t="s">
        <v>191</v>
      </c>
      <c r="D111" s="12"/>
      <c r="E111" s="12" t="s">
        <v>848</v>
      </c>
      <c r="F111" s="13"/>
      <c r="G111" s="12" t="s">
        <v>848</v>
      </c>
      <c r="H111" s="13"/>
      <c r="I111" s="12" t="s">
        <v>848</v>
      </c>
      <c r="J111" s="13"/>
      <c r="K111" s="12" t="s">
        <v>848</v>
      </c>
      <c r="L111" s="13"/>
      <c r="M111" s="12" t="s">
        <v>202</v>
      </c>
      <c r="N111" s="12" t="s">
        <v>189</v>
      </c>
      <c r="O111" s="12" t="str">
        <f>IF(TabelaRespostas[[#This Row],[Momento do Envio]]&gt;=1,"SIM","NÃO")</f>
        <v>SIM</v>
      </c>
      <c r="P111" s="12" t="s">
        <v>888</v>
      </c>
      <c r="Q111" s="14"/>
    </row>
    <row r="112" spans="1:17" ht="15" customHeight="1" x14ac:dyDescent="0.3">
      <c r="A112" s="15">
        <v>46207.743055555555</v>
      </c>
      <c r="B112" s="12" t="s">
        <v>182</v>
      </c>
      <c r="C112" s="12" t="s">
        <v>193</v>
      </c>
      <c r="D112" s="12"/>
      <c r="E112" s="12" t="s">
        <v>848</v>
      </c>
      <c r="F112" s="13"/>
      <c r="G112" s="12" t="s">
        <v>848</v>
      </c>
      <c r="H112" s="13"/>
      <c r="I112" s="12" t="s">
        <v>848</v>
      </c>
      <c r="J112" s="13"/>
      <c r="K112" s="12" t="s">
        <v>848</v>
      </c>
      <c r="L112" s="13"/>
      <c r="M112" s="12" t="s">
        <v>189</v>
      </c>
      <c r="N112" s="12" t="s">
        <v>185</v>
      </c>
      <c r="O112" s="12" t="str">
        <f>IF(TabelaRespostas[[#This Row],[Momento do Envio]]&gt;=1,"SIM","NÃO")</f>
        <v>SIM</v>
      </c>
      <c r="P112" s="12" t="s">
        <v>888</v>
      </c>
      <c r="Q112" s="14"/>
    </row>
    <row r="113" spans="1:17" ht="15" customHeight="1" x14ac:dyDescent="0.3">
      <c r="A113" s="15">
        <v>46207.743055555555</v>
      </c>
      <c r="B113" s="12" t="s">
        <v>182</v>
      </c>
      <c r="C113" s="12" t="s">
        <v>196</v>
      </c>
      <c r="D113" s="12"/>
      <c r="E113" s="12" t="s">
        <v>848</v>
      </c>
      <c r="F113" s="13"/>
      <c r="G113" s="12" t="s">
        <v>848</v>
      </c>
      <c r="H113" s="13"/>
      <c r="I113" s="12" t="s">
        <v>848</v>
      </c>
      <c r="J113" s="13"/>
      <c r="K113" s="12" t="s">
        <v>848</v>
      </c>
      <c r="L113" s="13"/>
      <c r="M113" s="12" t="s">
        <v>199</v>
      </c>
      <c r="N113" s="12" t="s">
        <v>205</v>
      </c>
      <c r="O113" s="12" t="str">
        <f>IF(TabelaRespostas[[#This Row],[Momento do Envio]]&gt;=1,"SIM","NÃO")</f>
        <v>SIM</v>
      </c>
      <c r="P113" s="12" t="s">
        <v>888</v>
      </c>
      <c r="Q113" s="14"/>
    </row>
    <row r="114" spans="1:17" ht="15" customHeight="1" x14ac:dyDescent="0.3">
      <c r="A114" s="15">
        <v>46207.743055555555</v>
      </c>
      <c r="B114" s="12" t="s">
        <v>182</v>
      </c>
      <c r="C114" s="12" t="s">
        <v>199</v>
      </c>
      <c r="D114" s="12"/>
      <c r="E114" s="12" t="s">
        <v>848</v>
      </c>
      <c r="F114" s="13"/>
      <c r="G114" s="12" t="s">
        <v>848</v>
      </c>
      <c r="H114" s="13"/>
      <c r="I114" s="12" t="s">
        <v>848</v>
      </c>
      <c r="J114" s="13"/>
      <c r="K114" s="12" t="s">
        <v>848</v>
      </c>
      <c r="L114" s="13"/>
      <c r="M114" s="12" t="s">
        <v>196</v>
      </c>
      <c r="N114" s="12" t="s">
        <v>193</v>
      </c>
      <c r="O114" s="12" t="str">
        <f>IF(TabelaRespostas[[#This Row],[Momento do Envio]]&gt;=1,"SIM","NÃO")</f>
        <v>SIM</v>
      </c>
      <c r="P114" s="12" t="s">
        <v>888</v>
      </c>
      <c r="Q114" s="14"/>
    </row>
    <row r="115" spans="1:17" ht="15" customHeight="1" x14ac:dyDescent="0.3">
      <c r="A115" s="15">
        <v>46207.743055555555</v>
      </c>
      <c r="B115" s="12" t="s">
        <v>182</v>
      </c>
      <c r="C115" s="12" t="s">
        <v>202</v>
      </c>
      <c r="D115" s="12"/>
      <c r="E115" s="12" t="s">
        <v>848</v>
      </c>
      <c r="F115" s="13"/>
      <c r="G115" s="12" t="s">
        <v>848</v>
      </c>
      <c r="H115" s="13"/>
      <c r="I115" s="12" t="s">
        <v>848</v>
      </c>
      <c r="J115" s="13"/>
      <c r="K115" s="12" t="s">
        <v>848</v>
      </c>
      <c r="L115" s="13"/>
      <c r="M115" s="12" t="s">
        <v>185</v>
      </c>
      <c r="N115" s="12" t="s">
        <v>191</v>
      </c>
      <c r="O115" s="12" t="str">
        <f>IF(TabelaRespostas[[#This Row],[Momento do Envio]]&gt;=1,"SIM","NÃO")</f>
        <v>SIM</v>
      </c>
      <c r="P115" s="12" t="s">
        <v>888</v>
      </c>
      <c r="Q115" s="14"/>
    </row>
    <row r="116" spans="1:17" ht="15" customHeight="1" x14ac:dyDescent="0.3">
      <c r="A116" s="15">
        <v>46207.743055555555</v>
      </c>
      <c r="B116" s="12" t="s">
        <v>182</v>
      </c>
      <c r="C116" s="12" t="s">
        <v>205</v>
      </c>
      <c r="D116" s="12"/>
      <c r="E116" s="12" t="s">
        <v>848</v>
      </c>
      <c r="F116" s="13"/>
      <c r="G116" s="12" t="s">
        <v>848</v>
      </c>
      <c r="H116" s="13"/>
      <c r="I116" s="12" t="s">
        <v>848</v>
      </c>
      <c r="J116" s="13"/>
      <c r="K116" s="12" t="s">
        <v>848</v>
      </c>
      <c r="L116" s="13"/>
      <c r="M116" s="12" t="s">
        <v>199</v>
      </c>
      <c r="N116" s="12" t="s">
        <v>207</v>
      </c>
      <c r="O116" s="12" t="str">
        <f>IF(TabelaRespostas[[#This Row],[Momento do Envio]]&gt;=1,"SIM","NÃO")</f>
        <v>SIM</v>
      </c>
      <c r="P116" s="12" t="s">
        <v>888</v>
      </c>
      <c r="Q116" s="14"/>
    </row>
    <row r="117" spans="1:17" ht="15" customHeight="1" x14ac:dyDescent="0.3">
      <c r="A117" s="15">
        <v>46207.743055555555</v>
      </c>
      <c r="B117" s="12" t="s">
        <v>182</v>
      </c>
      <c r="C117" s="12" t="s">
        <v>207</v>
      </c>
      <c r="D117" s="12"/>
      <c r="E117" s="12" t="s">
        <v>848</v>
      </c>
      <c r="F117" s="13"/>
      <c r="G117" s="12" t="s">
        <v>848</v>
      </c>
      <c r="H117" s="13"/>
      <c r="I117" s="12" t="s">
        <v>848</v>
      </c>
      <c r="J117" s="13"/>
      <c r="K117" s="12" t="s">
        <v>848</v>
      </c>
      <c r="L117" s="13"/>
      <c r="M117" s="12" t="s">
        <v>196</v>
      </c>
      <c r="N117" s="12" t="s">
        <v>205</v>
      </c>
      <c r="O117" s="12" t="str">
        <f>IF(TabelaRespostas[[#This Row],[Momento do Envio]]&gt;=1,"SIM","NÃO")</f>
        <v>SIM</v>
      </c>
      <c r="P117" s="12" t="s">
        <v>888</v>
      </c>
      <c r="Q117" s="14"/>
    </row>
    <row r="118" spans="1:17" ht="15" customHeight="1" x14ac:dyDescent="0.3">
      <c r="A118" s="15">
        <v>46238.711805555555</v>
      </c>
      <c r="B118" s="12" t="s">
        <v>215</v>
      </c>
      <c r="C118" s="12" t="s">
        <v>217</v>
      </c>
      <c r="D118" s="12"/>
      <c r="E118" s="12" t="s">
        <v>848</v>
      </c>
      <c r="F118" s="13"/>
      <c r="G118" s="12" t="s">
        <v>848</v>
      </c>
      <c r="H118" s="13"/>
      <c r="I118" s="12" t="s">
        <v>848</v>
      </c>
      <c r="J118" s="13"/>
      <c r="K118" s="12" t="s">
        <v>848</v>
      </c>
      <c r="L118" s="13"/>
      <c r="M118" s="12" t="s">
        <v>220</v>
      </c>
      <c r="N118" s="12" t="s">
        <v>223</v>
      </c>
      <c r="O118" s="12" t="str">
        <f>IF(TabelaRespostas[[#This Row],[Momento do Envio]]&gt;=1,"SIM","NÃO")</f>
        <v>SIM</v>
      </c>
      <c r="P118" s="12" t="s">
        <v>889</v>
      </c>
      <c r="Q118" s="14"/>
    </row>
    <row r="119" spans="1:17" ht="15" customHeight="1" x14ac:dyDescent="0.3">
      <c r="A119" s="15">
        <v>46238.711805555555</v>
      </c>
      <c r="B119" s="12" t="s">
        <v>215</v>
      </c>
      <c r="C119" s="12" t="s">
        <v>217</v>
      </c>
      <c r="D119" s="12"/>
      <c r="E119" s="12" t="s">
        <v>848</v>
      </c>
      <c r="F119" s="13"/>
      <c r="G119" s="12" t="s">
        <v>848</v>
      </c>
      <c r="H119" s="13"/>
      <c r="I119" s="12" t="s">
        <v>848</v>
      </c>
      <c r="J119" s="13"/>
      <c r="K119" s="12" t="s">
        <v>848</v>
      </c>
      <c r="L119" s="13"/>
      <c r="M119" s="12" t="s">
        <v>220</v>
      </c>
      <c r="N119" s="12" t="s">
        <v>223</v>
      </c>
      <c r="O119" s="12" t="str">
        <f>IF(TabelaRespostas[[#This Row],[Momento do Envio]]&gt;=1,"SIM","NÃO")</f>
        <v>SIM</v>
      </c>
      <c r="P119" s="12" t="s">
        <v>889</v>
      </c>
      <c r="Q119" s="14"/>
    </row>
    <row r="120" spans="1:17" ht="15" customHeight="1" x14ac:dyDescent="0.3">
      <c r="A120" s="15">
        <v>46238.711805555555</v>
      </c>
      <c r="B120" s="12" t="s">
        <v>215</v>
      </c>
      <c r="C120" s="12" t="s">
        <v>220</v>
      </c>
      <c r="D120" s="12"/>
      <c r="E120" s="12" t="s">
        <v>848</v>
      </c>
      <c r="F120" s="13"/>
      <c r="G120" s="12" t="s">
        <v>848</v>
      </c>
      <c r="H120" s="13"/>
      <c r="I120" s="12" t="s">
        <v>848</v>
      </c>
      <c r="J120" s="13"/>
      <c r="K120" s="12" t="s">
        <v>848</v>
      </c>
      <c r="L120" s="13"/>
      <c r="M120" s="12" t="s">
        <v>217</v>
      </c>
      <c r="N120" s="12" t="s">
        <v>223</v>
      </c>
      <c r="O120" s="12" t="str">
        <f>IF(TabelaRespostas[[#This Row],[Momento do Envio]]&gt;=1,"SIM","NÃO")</f>
        <v>SIM</v>
      </c>
      <c r="P120" s="12" t="s">
        <v>889</v>
      </c>
      <c r="Q120" s="14"/>
    </row>
    <row r="121" spans="1:17" ht="15" customHeight="1" x14ac:dyDescent="0.3">
      <c r="A121" s="15">
        <v>46238.711805555555</v>
      </c>
      <c r="B121" s="12" t="s">
        <v>215</v>
      </c>
      <c r="C121" s="12" t="s">
        <v>220</v>
      </c>
      <c r="D121" s="12"/>
      <c r="E121" s="12" t="s">
        <v>848</v>
      </c>
      <c r="F121" s="13"/>
      <c r="G121" s="12" t="s">
        <v>848</v>
      </c>
      <c r="H121" s="13"/>
      <c r="I121" s="12" t="s">
        <v>848</v>
      </c>
      <c r="J121" s="13"/>
      <c r="K121" s="12" t="s">
        <v>848</v>
      </c>
      <c r="L121" s="13"/>
      <c r="M121" s="12" t="s">
        <v>217</v>
      </c>
      <c r="N121" s="12" t="s">
        <v>223</v>
      </c>
      <c r="O121" s="12" t="str">
        <f>IF(TabelaRespostas[[#This Row],[Momento do Envio]]&gt;=1,"SIM","NÃO")</f>
        <v>SIM</v>
      </c>
      <c r="P121" s="12" t="s">
        <v>889</v>
      </c>
      <c r="Q121" s="14"/>
    </row>
    <row r="122" spans="1:17" ht="15" customHeight="1" x14ac:dyDescent="0.3">
      <c r="A122" s="15">
        <v>46238.711805555555</v>
      </c>
      <c r="B122" s="12" t="s">
        <v>215</v>
      </c>
      <c r="C122" s="12" t="s">
        <v>223</v>
      </c>
      <c r="D122" s="12"/>
      <c r="E122" s="12" t="s">
        <v>848</v>
      </c>
      <c r="F122" s="13"/>
      <c r="G122" s="12" t="s">
        <v>848</v>
      </c>
      <c r="H122" s="13"/>
      <c r="I122" s="12" t="s">
        <v>848</v>
      </c>
      <c r="J122" s="13"/>
      <c r="K122" s="12" t="s">
        <v>848</v>
      </c>
      <c r="L122" s="13"/>
      <c r="M122" s="12" t="s">
        <v>220</v>
      </c>
      <c r="N122" s="12" t="s">
        <v>217</v>
      </c>
      <c r="O122" s="12" t="str">
        <f>IF(TabelaRespostas[[#This Row],[Momento do Envio]]&gt;=1,"SIM","NÃO")</f>
        <v>SIM</v>
      </c>
      <c r="P122" s="12" t="s">
        <v>889</v>
      </c>
      <c r="Q122" s="14"/>
    </row>
    <row r="123" spans="1:17" ht="15" customHeight="1" x14ac:dyDescent="0.3">
      <c r="A123" s="15">
        <v>46238.711805555555</v>
      </c>
      <c r="B123" s="12" t="s">
        <v>215</v>
      </c>
      <c r="C123" s="12" t="s">
        <v>223</v>
      </c>
      <c r="D123" s="12"/>
      <c r="E123" s="12" t="s">
        <v>848</v>
      </c>
      <c r="F123" s="13"/>
      <c r="G123" s="12" t="s">
        <v>848</v>
      </c>
      <c r="H123" s="13"/>
      <c r="I123" s="12" t="s">
        <v>848</v>
      </c>
      <c r="J123" s="13"/>
      <c r="K123" s="12" t="s">
        <v>848</v>
      </c>
      <c r="L123" s="13"/>
      <c r="M123" s="12" t="s">
        <v>220</v>
      </c>
      <c r="N123" s="12" t="s">
        <v>217</v>
      </c>
      <c r="O123" s="12" t="str">
        <f>IF(TabelaRespostas[[#This Row],[Momento do Envio]]&gt;=1,"SIM","NÃO")</f>
        <v>SIM</v>
      </c>
      <c r="P123" s="12" t="s">
        <v>889</v>
      </c>
      <c r="Q123" s="14"/>
    </row>
    <row r="124" spans="1:17" ht="15" customHeight="1" x14ac:dyDescent="0.3">
      <c r="A124" s="15">
        <v>46238.714583333334</v>
      </c>
      <c r="B124" s="12" t="s">
        <v>57</v>
      </c>
      <c r="C124" s="12" t="s">
        <v>139</v>
      </c>
      <c r="D124" s="12"/>
      <c r="E124" s="12" t="s">
        <v>848</v>
      </c>
      <c r="F124" s="13"/>
      <c r="G124" s="12" t="s">
        <v>848</v>
      </c>
      <c r="H124" s="13"/>
      <c r="I124" s="12" t="s">
        <v>848</v>
      </c>
      <c r="J124" s="13"/>
      <c r="K124" s="12" t="s">
        <v>848</v>
      </c>
      <c r="L124" s="13"/>
      <c r="M124" s="12" t="s">
        <v>146</v>
      </c>
      <c r="N124" s="12" t="s">
        <v>143</v>
      </c>
      <c r="O124" s="12" t="str">
        <f>IF(TabelaRespostas[[#This Row],[Momento do Envio]]&gt;=1,"SIM","NÃO")</f>
        <v>SIM</v>
      </c>
      <c r="P124" s="12" t="s">
        <v>890</v>
      </c>
      <c r="Q124" s="14"/>
    </row>
    <row r="125" spans="1:17" ht="15" customHeight="1" x14ac:dyDescent="0.3">
      <c r="A125" s="15">
        <v>46238.714583333334</v>
      </c>
      <c r="B125" s="12" t="s">
        <v>57</v>
      </c>
      <c r="C125" s="12" t="s">
        <v>143</v>
      </c>
      <c r="D125" s="12"/>
      <c r="E125" s="12" t="s">
        <v>848</v>
      </c>
      <c r="F125" s="13"/>
      <c r="G125" s="12" t="s">
        <v>848</v>
      </c>
      <c r="H125" s="13"/>
      <c r="I125" s="12" t="s">
        <v>848</v>
      </c>
      <c r="J125" s="13"/>
      <c r="K125" s="12" t="s">
        <v>848</v>
      </c>
      <c r="L125" s="13"/>
      <c r="M125" s="12" t="s">
        <v>146</v>
      </c>
      <c r="N125" s="12" t="s">
        <v>139</v>
      </c>
      <c r="O125" s="12" t="str">
        <f>IF(TabelaRespostas[[#This Row],[Momento do Envio]]&gt;=1,"SIM","NÃO")</f>
        <v>SIM</v>
      </c>
      <c r="P125" s="12" t="s">
        <v>890</v>
      </c>
      <c r="Q125" s="14"/>
    </row>
    <row r="126" spans="1:17" ht="15" customHeight="1" x14ac:dyDescent="0.3">
      <c r="A126" s="15">
        <v>46238.714583333334</v>
      </c>
      <c r="B126" s="12" t="s">
        <v>57</v>
      </c>
      <c r="C126" s="12" t="s">
        <v>146</v>
      </c>
      <c r="D126" s="12"/>
      <c r="E126" s="12" t="s">
        <v>848</v>
      </c>
      <c r="F126" s="13"/>
      <c r="G126" s="12" t="s">
        <v>848</v>
      </c>
      <c r="H126" s="13"/>
      <c r="I126" s="12" t="s">
        <v>848</v>
      </c>
      <c r="J126" s="13"/>
      <c r="K126" s="12" t="s">
        <v>848</v>
      </c>
      <c r="L126" s="13"/>
      <c r="M126" s="12" t="s">
        <v>143</v>
      </c>
      <c r="N126" s="12" t="s">
        <v>139</v>
      </c>
      <c r="O126" s="12" t="str">
        <f>IF(TabelaRespostas[[#This Row],[Momento do Envio]]&gt;=1,"SIM","NÃO")</f>
        <v>SIM</v>
      </c>
      <c r="P126" s="12" t="s">
        <v>890</v>
      </c>
      <c r="Q126" s="14"/>
    </row>
    <row r="127" spans="1:17" ht="15" customHeight="1" x14ac:dyDescent="0.3">
      <c r="A127" s="15">
        <v>46238.716666666667</v>
      </c>
      <c r="B127" s="12" t="s">
        <v>745</v>
      </c>
      <c r="C127" s="12" t="s">
        <v>747</v>
      </c>
      <c r="D127" s="12"/>
      <c r="E127" s="12" t="s">
        <v>848</v>
      </c>
      <c r="F127" s="13"/>
      <c r="G127" s="12" t="s">
        <v>848</v>
      </c>
      <c r="H127" s="13"/>
      <c r="I127" s="12" t="s">
        <v>848</v>
      </c>
      <c r="J127" s="13"/>
      <c r="K127" s="12" t="s">
        <v>848</v>
      </c>
      <c r="L127" s="13"/>
      <c r="M127" s="12" t="s">
        <v>751</v>
      </c>
      <c r="N127" s="12" t="s">
        <v>753</v>
      </c>
      <c r="O127" s="12" t="str">
        <f>IF(TabelaRespostas[[#This Row],[Momento do Envio]]&gt;=1,"SIM","NÃO")</f>
        <v>SIM</v>
      </c>
      <c r="P127" s="12" t="s">
        <v>891</v>
      </c>
      <c r="Q127" s="14"/>
    </row>
    <row r="128" spans="1:17" ht="15" customHeight="1" x14ac:dyDescent="0.3">
      <c r="A128" s="15">
        <v>46238.716666666667</v>
      </c>
      <c r="B128" s="12" t="s">
        <v>745</v>
      </c>
      <c r="C128" s="12" t="s">
        <v>751</v>
      </c>
      <c r="D128" s="12"/>
      <c r="E128" s="12" t="s">
        <v>848</v>
      </c>
      <c r="F128" s="13"/>
      <c r="G128" s="12" t="s">
        <v>848</v>
      </c>
      <c r="H128" s="13"/>
      <c r="I128" s="12" t="s">
        <v>848</v>
      </c>
      <c r="J128" s="13"/>
      <c r="K128" s="12" t="s">
        <v>848</v>
      </c>
      <c r="L128" s="13"/>
      <c r="M128" s="12" t="s">
        <v>747</v>
      </c>
      <c r="N128" s="12" t="s">
        <v>759</v>
      </c>
      <c r="O128" s="12" t="str">
        <f>IF(TabelaRespostas[[#This Row],[Momento do Envio]]&gt;=1,"SIM","NÃO")</f>
        <v>SIM</v>
      </c>
      <c r="P128" s="12" t="s">
        <v>891</v>
      </c>
      <c r="Q128" s="14"/>
    </row>
    <row r="129" spans="1:17" ht="15" customHeight="1" x14ac:dyDescent="0.3">
      <c r="A129" s="15">
        <v>46238.716666666667</v>
      </c>
      <c r="B129" s="12" t="s">
        <v>745</v>
      </c>
      <c r="C129" s="12" t="s">
        <v>753</v>
      </c>
      <c r="D129" s="12"/>
      <c r="E129" s="12" t="s">
        <v>848</v>
      </c>
      <c r="F129" s="13"/>
      <c r="G129" s="12" t="s">
        <v>848</v>
      </c>
      <c r="H129" s="13"/>
      <c r="I129" s="12" t="s">
        <v>848</v>
      </c>
      <c r="J129" s="13"/>
      <c r="K129" s="12" t="s">
        <v>848</v>
      </c>
      <c r="L129" s="13"/>
      <c r="M129" s="12" t="s">
        <v>747</v>
      </c>
      <c r="N129" s="12" t="s">
        <v>751</v>
      </c>
      <c r="O129" s="12" t="str">
        <f>IF(TabelaRespostas[[#This Row],[Momento do Envio]]&gt;=1,"SIM","NÃO")</f>
        <v>SIM</v>
      </c>
      <c r="P129" s="12" t="s">
        <v>891</v>
      </c>
      <c r="Q129" s="14"/>
    </row>
    <row r="130" spans="1:17" ht="15" customHeight="1" x14ac:dyDescent="0.3">
      <c r="A130" s="15">
        <v>46238.716666666667</v>
      </c>
      <c r="B130" s="12" t="s">
        <v>745</v>
      </c>
      <c r="C130" s="12" t="s">
        <v>756</v>
      </c>
      <c r="D130" s="12"/>
      <c r="E130" s="12" t="s">
        <v>848</v>
      </c>
      <c r="F130" s="13"/>
      <c r="G130" s="12" t="s">
        <v>848</v>
      </c>
      <c r="H130" s="13"/>
      <c r="I130" s="12" t="s">
        <v>848</v>
      </c>
      <c r="J130" s="13"/>
      <c r="K130" s="12" t="s">
        <v>848</v>
      </c>
      <c r="L130" s="13"/>
      <c r="M130" s="12" t="s">
        <v>759</v>
      </c>
      <c r="N130" s="12" t="s">
        <v>747</v>
      </c>
      <c r="O130" s="12" t="str">
        <f>IF(TabelaRespostas[[#This Row],[Momento do Envio]]&gt;=1,"SIM","NÃO")</f>
        <v>SIM</v>
      </c>
      <c r="P130" s="12" t="s">
        <v>891</v>
      </c>
      <c r="Q130" s="14"/>
    </row>
    <row r="131" spans="1:17" ht="15" customHeight="1" x14ac:dyDescent="0.3">
      <c r="A131" s="15">
        <v>46238.716666666667</v>
      </c>
      <c r="B131" s="12" t="s">
        <v>745</v>
      </c>
      <c r="C131" s="12" t="s">
        <v>759</v>
      </c>
      <c r="D131" s="12"/>
      <c r="E131" s="12" t="s">
        <v>848</v>
      </c>
      <c r="F131" s="13"/>
      <c r="G131" s="12" t="s">
        <v>848</v>
      </c>
      <c r="H131" s="13"/>
      <c r="I131" s="12" t="s">
        <v>848</v>
      </c>
      <c r="J131" s="13"/>
      <c r="K131" s="12" t="s">
        <v>848</v>
      </c>
      <c r="L131" s="13"/>
      <c r="M131" s="12" t="s">
        <v>751</v>
      </c>
      <c r="N131" s="12" t="s">
        <v>753</v>
      </c>
      <c r="O131" s="12" t="str">
        <f>IF(TabelaRespostas[[#This Row],[Momento do Envio]]&gt;=1,"SIM","NÃO")</f>
        <v>SIM</v>
      </c>
      <c r="P131" s="12" t="s">
        <v>891</v>
      </c>
      <c r="Q131" s="14"/>
    </row>
    <row r="132" spans="1:17" ht="15" customHeight="1" x14ac:dyDescent="0.3">
      <c r="A132" s="15">
        <v>46238.74722222222</v>
      </c>
      <c r="B132" s="12" t="s">
        <v>325</v>
      </c>
      <c r="C132" s="12" t="s">
        <v>328</v>
      </c>
      <c r="D132" s="12"/>
      <c r="E132" s="12" t="s">
        <v>848</v>
      </c>
      <c r="F132" s="13"/>
      <c r="G132" s="12" t="s">
        <v>848</v>
      </c>
      <c r="H132" s="13"/>
      <c r="I132" s="12" t="s">
        <v>848</v>
      </c>
      <c r="J132" s="13"/>
      <c r="K132" s="12" t="s">
        <v>848</v>
      </c>
      <c r="L132" s="13"/>
      <c r="M132" s="12" t="s">
        <v>331</v>
      </c>
      <c r="N132" s="12" t="s">
        <v>509</v>
      </c>
      <c r="O132" s="12" t="str">
        <f>IF(TabelaRespostas[[#This Row],[Momento do Envio]]&gt;=1,"SIM","NÃO")</f>
        <v>SIM</v>
      </c>
      <c r="P132" s="12" t="s">
        <v>892</v>
      </c>
      <c r="Q132" s="14"/>
    </row>
    <row r="133" spans="1:17" ht="15" customHeight="1" x14ac:dyDescent="0.3">
      <c r="A133" s="15">
        <v>46238.74722222222</v>
      </c>
      <c r="B133" s="12" t="s">
        <v>325</v>
      </c>
      <c r="C133" s="12" t="s">
        <v>331</v>
      </c>
      <c r="D133" s="12"/>
      <c r="E133" s="12" t="s">
        <v>848</v>
      </c>
      <c r="F133" s="13"/>
      <c r="G133" s="12" t="s">
        <v>848</v>
      </c>
      <c r="H133" s="13"/>
      <c r="I133" s="12" t="s">
        <v>848</v>
      </c>
      <c r="J133" s="13"/>
      <c r="K133" s="12" t="s">
        <v>848</v>
      </c>
      <c r="L133" s="13"/>
      <c r="M133" s="12" t="s">
        <v>328</v>
      </c>
      <c r="N133" s="12" t="s">
        <v>558</v>
      </c>
      <c r="O133" s="12" t="str">
        <f>IF(TabelaRespostas[[#This Row],[Momento do Envio]]&gt;=1,"SIM","NÃO")</f>
        <v>SIM</v>
      </c>
      <c r="P133" s="12" t="s">
        <v>892</v>
      </c>
      <c r="Q133" s="14"/>
    </row>
    <row r="134" spans="1:17" ht="15" customHeight="1" x14ac:dyDescent="0.3">
      <c r="A134" s="15">
        <v>46238.796527777777</v>
      </c>
      <c r="B134" s="12" t="s">
        <v>209</v>
      </c>
      <c r="C134" s="12" t="s">
        <v>212</v>
      </c>
      <c r="D134" s="12"/>
      <c r="E134" s="12" t="s">
        <v>848</v>
      </c>
      <c r="F134" s="13"/>
      <c r="G134" s="12" t="s">
        <v>848</v>
      </c>
      <c r="H134" s="13"/>
      <c r="I134" s="12" t="s">
        <v>848</v>
      </c>
      <c r="J134" s="13"/>
      <c r="K134" s="12" t="s">
        <v>848</v>
      </c>
      <c r="L134" s="13"/>
      <c r="M134" s="12" t="s">
        <v>9</v>
      </c>
      <c r="N134" s="12" t="s">
        <v>482</v>
      </c>
      <c r="O134" s="12" t="str">
        <f>IF(TabelaRespostas[[#This Row],[Momento do Envio]]&gt;=1,"SIM","NÃO")</f>
        <v>SIM</v>
      </c>
      <c r="P134" s="12" t="s">
        <v>893</v>
      </c>
      <c r="Q134" s="14"/>
    </row>
    <row r="135" spans="1:17" ht="15" customHeight="1" x14ac:dyDescent="0.3">
      <c r="A135" s="15">
        <v>46269.030555555553</v>
      </c>
      <c r="B135" s="12" t="s">
        <v>332</v>
      </c>
      <c r="C135" s="12" t="s">
        <v>334</v>
      </c>
      <c r="D135" s="12"/>
      <c r="E135" s="12" t="s">
        <v>848</v>
      </c>
      <c r="F135" s="13"/>
      <c r="G135" s="12" t="s">
        <v>848</v>
      </c>
      <c r="H135" s="13"/>
      <c r="I135" s="12" t="s">
        <v>848</v>
      </c>
      <c r="J135" s="13"/>
      <c r="K135" s="12" t="s">
        <v>848</v>
      </c>
      <c r="L135" s="13"/>
      <c r="M135" s="12" t="s">
        <v>337</v>
      </c>
      <c r="N135" s="12" t="s">
        <v>340</v>
      </c>
      <c r="O135" s="12" t="str">
        <f>IF(TabelaRespostas[[#This Row],[Momento do Envio]]&gt;=1,"SIM","NÃO")</f>
        <v>SIM</v>
      </c>
      <c r="P135" s="12" t="s">
        <v>894</v>
      </c>
      <c r="Q135" s="14" t="s">
        <v>895</v>
      </c>
    </row>
    <row r="136" spans="1:17" ht="15" customHeight="1" x14ac:dyDescent="0.3">
      <c r="A136" s="15">
        <v>46269.030555555553</v>
      </c>
      <c r="B136" s="12" t="s">
        <v>332</v>
      </c>
      <c r="C136" s="12" t="s">
        <v>337</v>
      </c>
      <c r="D136" s="12"/>
      <c r="E136" s="12" t="s">
        <v>848</v>
      </c>
      <c r="F136" s="13"/>
      <c r="G136" s="12" t="s">
        <v>848</v>
      </c>
      <c r="H136" s="13"/>
      <c r="I136" s="12" t="s">
        <v>848</v>
      </c>
      <c r="J136" s="13"/>
      <c r="K136" s="12" t="s">
        <v>848</v>
      </c>
      <c r="L136" s="13"/>
      <c r="M136" s="12" t="s">
        <v>334</v>
      </c>
      <c r="N136" s="12" t="s">
        <v>340</v>
      </c>
      <c r="O136" s="12" t="str">
        <f>IF(TabelaRespostas[[#This Row],[Momento do Envio]]&gt;=1,"SIM","NÃO")</f>
        <v>SIM</v>
      </c>
      <c r="P136" s="12" t="s">
        <v>894</v>
      </c>
      <c r="Q136" s="14" t="s">
        <v>895</v>
      </c>
    </row>
    <row r="137" spans="1:17" ht="15" customHeight="1" x14ac:dyDescent="0.3">
      <c r="A137" s="15">
        <v>46269.030555555553</v>
      </c>
      <c r="B137" s="12" t="s">
        <v>332</v>
      </c>
      <c r="C137" s="12" t="s">
        <v>340</v>
      </c>
      <c r="D137" s="12"/>
      <c r="E137" s="12" t="s">
        <v>848</v>
      </c>
      <c r="F137" s="13"/>
      <c r="G137" s="12" t="s">
        <v>848</v>
      </c>
      <c r="H137" s="13"/>
      <c r="I137" s="12" t="s">
        <v>848</v>
      </c>
      <c r="J137" s="13"/>
      <c r="K137" s="12" t="s">
        <v>848</v>
      </c>
      <c r="L137" s="13"/>
      <c r="M137" s="12" t="s">
        <v>337</v>
      </c>
      <c r="N137" s="12" t="s">
        <v>334</v>
      </c>
      <c r="O137" s="12" t="str">
        <f>IF(TabelaRespostas[[#This Row],[Momento do Envio]]&gt;=1,"SIM","NÃO")</f>
        <v>SIM</v>
      </c>
      <c r="P137" s="12" t="s">
        <v>894</v>
      </c>
      <c r="Q137" s="14" t="s">
        <v>895</v>
      </c>
    </row>
    <row r="138" spans="1:17" ht="15" customHeight="1" x14ac:dyDescent="0.3">
      <c r="A138" s="15">
        <v>46269.037499999999</v>
      </c>
      <c r="B138" s="12" t="s">
        <v>375</v>
      </c>
      <c r="C138" s="12" t="s">
        <v>377</v>
      </c>
      <c r="D138" s="12"/>
      <c r="E138" s="12" t="s">
        <v>848</v>
      </c>
      <c r="F138" s="13"/>
      <c r="G138" s="12" t="s">
        <v>848</v>
      </c>
      <c r="H138" s="13"/>
      <c r="I138" s="12" t="s">
        <v>848</v>
      </c>
      <c r="J138" s="13"/>
      <c r="K138" s="12" t="s">
        <v>848</v>
      </c>
      <c r="L138" s="13"/>
      <c r="M138" s="12" t="s">
        <v>380</v>
      </c>
      <c r="N138" s="12" t="s">
        <v>368</v>
      </c>
      <c r="O138" s="12" t="str">
        <f>IF(TabelaRespostas[[#This Row],[Momento do Envio]]&gt;=1,"SIM","NÃO")</f>
        <v>SIM</v>
      </c>
      <c r="P138" s="12" t="s">
        <v>896</v>
      </c>
      <c r="Q138" s="14"/>
    </row>
    <row r="139" spans="1:17" ht="15" customHeight="1" x14ac:dyDescent="0.3">
      <c r="A139" s="15">
        <v>46269.037499999999</v>
      </c>
      <c r="B139" s="12" t="s">
        <v>375</v>
      </c>
      <c r="C139" s="12" t="s">
        <v>380</v>
      </c>
      <c r="D139" s="12"/>
      <c r="E139" s="12" t="s">
        <v>848</v>
      </c>
      <c r="F139" s="13"/>
      <c r="G139" s="12" t="s">
        <v>848</v>
      </c>
      <c r="H139" s="13"/>
      <c r="I139" s="12" t="s">
        <v>848</v>
      </c>
      <c r="J139" s="13"/>
      <c r="K139" s="12" t="s">
        <v>848</v>
      </c>
      <c r="L139" s="13"/>
      <c r="M139" s="12" t="s">
        <v>377</v>
      </c>
      <c r="N139" s="12" t="s">
        <v>368</v>
      </c>
      <c r="O139" s="12" t="str">
        <f>IF(TabelaRespostas[[#This Row],[Momento do Envio]]&gt;=1,"SIM","NÃO")</f>
        <v>SIM</v>
      </c>
      <c r="P139" s="12" t="s">
        <v>896</v>
      </c>
      <c r="Q139" s="14"/>
    </row>
    <row r="140" spans="1:17" ht="15" customHeight="1" x14ac:dyDescent="0.3">
      <c r="A140" s="15">
        <v>46269.354861111111</v>
      </c>
      <c r="B140" s="12" t="s">
        <v>455</v>
      </c>
      <c r="C140" s="12" t="s">
        <v>457</v>
      </c>
      <c r="D140" s="12"/>
      <c r="E140" s="12" t="s">
        <v>848</v>
      </c>
      <c r="F140" s="13"/>
      <c r="G140" s="12" t="s">
        <v>848</v>
      </c>
      <c r="H140" s="13"/>
      <c r="I140" s="12" t="s">
        <v>848</v>
      </c>
      <c r="J140" s="13"/>
      <c r="K140" s="12" t="s">
        <v>848</v>
      </c>
      <c r="L140" s="13"/>
      <c r="M140" s="12" t="s">
        <v>460</v>
      </c>
      <c r="N140" s="12" t="s">
        <v>828</v>
      </c>
      <c r="O140" s="12" t="str">
        <f>IF(TabelaRespostas[[#This Row],[Momento do Envio]]&gt;=1,"SIM","NÃO")</f>
        <v>SIM</v>
      </c>
      <c r="P140" s="12" t="s">
        <v>897</v>
      </c>
      <c r="Q140" s="14"/>
    </row>
    <row r="141" spans="1:17" ht="15" customHeight="1" x14ac:dyDescent="0.3">
      <c r="A141" s="15">
        <v>46269.354861111111</v>
      </c>
      <c r="B141" s="12" t="s">
        <v>455</v>
      </c>
      <c r="C141" s="12" t="s">
        <v>460</v>
      </c>
      <c r="D141" s="12"/>
      <c r="E141" s="12" t="s">
        <v>848</v>
      </c>
      <c r="F141" s="13"/>
      <c r="G141" s="12" t="s">
        <v>848</v>
      </c>
      <c r="H141" s="13"/>
      <c r="I141" s="12" t="s">
        <v>848</v>
      </c>
      <c r="J141" s="13"/>
      <c r="K141" s="12" t="s">
        <v>848</v>
      </c>
      <c r="L141" s="13"/>
      <c r="M141" s="12" t="s">
        <v>457</v>
      </c>
      <c r="N141" s="12" t="s">
        <v>543</v>
      </c>
      <c r="O141" s="12" t="str">
        <f>IF(TabelaRespostas[[#This Row],[Momento do Envio]]&gt;=1,"SIM","NÃO")</f>
        <v>SIM</v>
      </c>
      <c r="P141" s="12" t="s">
        <v>897</v>
      </c>
      <c r="Q141" s="14"/>
    </row>
    <row r="142" spans="1:17" ht="15" customHeight="1" x14ac:dyDescent="0.3">
      <c r="A142" s="15">
        <v>46269.425694444442</v>
      </c>
      <c r="B142" s="12" t="s">
        <v>397</v>
      </c>
      <c r="C142" s="12" t="s">
        <v>401</v>
      </c>
      <c r="D142" s="12"/>
      <c r="E142" s="12" t="s">
        <v>848</v>
      </c>
      <c r="F142" s="13"/>
      <c r="G142" s="12" t="s">
        <v>848</v>
      </c>
      <c r="H142" s="13"/>
      <c r="I142" s="12" t="s">
        <v>848</v>
      </c>
      <c r="J142" s="13"/>
      <c r="K142" s="12" t="s">
        <v>848</v>
      </c>
      <c r="L142" s="13"/>
      <c r="M142" s="12" t="s">
        <v>404</v>
      </c>
      <c r="N142" s="12" t="s">
        <v>413</v>
      </c>
      <c r="O142" s="12" t="str">
        <f>IF(TabelaRespostas[[#This Row],[Momento do Envio]]&gt;=1,"SIM","NÃO")</f>
        <v>SIM</v>
      </c>
      <c r="P142" s="12" t="s">
        <v>898</v>
      </c>
      <c r="Q142" s="14"/>
    </row>
    <row r="143" spans="1:17" ht="15" customHeight="1" x14ac:dyDescent="0.3">
      <c r="A143" s="15">
        <v>46269.425694444442</v>
      </c>
      <c r="B143" s="12" t="s">
        <v>397</v>
      </c>
      <c r="C143" s="12" t="s">
        <v>401</v>
      </c>
      <c r="D143" s="12"/>
      <c r="E143" s="12" t="s">
        <v>848</v>
      </c>
      <c r="F143" s="13"/>
      <c r="G143" s="12" t="s">
        <v>848</v>
      </c>
      <c r="H143" s="13"/>
      <c r="I143" s="12" t="s">
        <v>848</v>
      </c>
      <c r="J143" s="13"/>
      <c r="K143" s="12" t="s">
        <v>848</v>
      </c>
      <c r="L143" s="13"/>
      <c r="M143" s="12" t="s">
        <v>404</v>
      </c>
      <c r="N143" s="12" t="s">
        <v>413</v>
      </c>
      <c r="O143" s="12" t="str">
        <f>IF(TabelaRespostas[[#This Row],[Momento do Envio]]&gt;=1,"SIM","NÃO")</f>
        <v>SIM</v>
      </c>
      <c r="P143" s="12" t="s">
        <v>898</v>
      </c>
      <c r="Q143" s="14"/>
    </row>
    <row r="144" spans="1:17" ht="15" customHeight="1" x14ac:dyDescent="0.3">
      <c r="A144" s="15">
        <v>46269.425694444442</v>
      </c>
      <c r="B144" s="12" t="s">
        <v>397</v>
      </c>
      <c r="C144" s="12" t="s">
        <v>401</v>
      </c>
      <c r="D144" s="12"/>
      <c r="E144" s="12" t="s">
        <v>848</v>
      </c>
      <c r="F144" s="13"/>
      <c r="G144" s="12" t="s">
        <v>848</v>
      </c>
      <c r="H144" s="13"/>
      <c r="I144" s="12" t="s">
        <v>848</v>
      </c>
      <c r="J144" s="13"/>
      <c r="K144" s="12" t="s">
        <v>848</v>
      </c>
      <c r="L144" s="13"/>
      <c r="M144" s="12" t="s">
        <v>404</v>
      </c>
      <c r="N144" s="12" t="s">
        <v>413</v>
      </c>
      <c r="O144" s="12" t="str">
        <f>IF(TabelaRespostas[[#This Row],[Momento do Envio]]&gt;=1,"SIM","NÃO")</f>
        <v>SIM</v>
      </c>
      <c r="P144" s="12" t="s">
        <v>898</v>
      </c>
      <c r="Q144" s="14"/>
    </row>
    <row r="145" spans="1:17" ht="15" customHeight="1" x14ac:dyDescent="0.3">
      <c r="A145" s="15">
        <v>46269.425694444442</v>
      </c>
      <c r="B145" s="12" t="s">
        <v>397</v>
      </c>
      <c r="C145" s="12" t="s">
        <v>404</v>
      </c>
      <c r="D145" s="12"/>
      <c r="E145" s="12" t="s">
        <v>848</v>
      </c>
      <c r="F145" s="13"/>
      <c r="G145" s="12" t="s">
        <v>848</v>
      </c>
      <c r="H145" s="13"/>
      <c r="I145" s="12" t="s">
        <v>848</v>
      </c>
      <c r="J145" s="13"/>
      <c r="K145" s="12" t="s">
        <v>848</v>
      </c>
      <c r="L145" s="13"/>
      <c r="M145" s="12" t="s">
        <v>401</v>
      </c>
      <c r="N145" s="12" t="s">
        <v>410</v>
      </c>
      <c r="O145" s="12" t="str">
        <f>IF(TabelaRespostas[[#This Row],[Momento do Envio]]&gt;=1,"SIM","NÃO")</f>
        <v>SIM</v>
      </c>
      <c r="P145" s="12" t="s">
        <v>898</v>
      </c>
      <c r="Q145" s="14"/>
    </row>
    <row r="146" spans="1:17" ht="15" customHeight="1" x14ac:dyDescent="0.3">
      <c r="A146" s="15">
        <v>46269.425694444442</v>
      </c>
      <c r="B146" s="12" t="s">
        <v>397</v>
      </c>
      <c r="C146" s="12" t="s">
        <v>404</v>
      </c>
      <c r="D146" s="12"/>
      <c r="E146" s="12" t="s">
        <v>848</v>
      </c>
      <c r="F146" s="13"/>
      <c r="G146" s="12" t="s">
        <v>848</v>
      </c>
      <c r="H146" s="13"/>
      <c r="I146" s="12" t="s">
        <v>848</v>
      </c>
      <c r="J146" s="13"/>
      <c r="K146" s="12" t="s">
        <v>848</v>
      </c>
      <c r="L146" s="13"/>
      <c r="M146" s="12" t="s">
        <v>401</v>
      </c>
      <c r="N146" s="12" t="s">
        <v>410</v>
      </c>
      <c r="O146" s="12" t="str">
        <f>IF(TabelaRespostas[[#This Row],[Momento do Envio]]&gt;=1,"SIM","NÃO")</f>
        <v>SIM</v>
      </c>
      <c r="P146" s="12" t="s">
        <v>898</v>
      </c>
      <c r="Q146" s="14"/>
    </row>
    <row r="147" spans="1:17" ht="15" customHeight="1" x14ac:dyDescent="0.3">
      <c r="A147" s="15">
        <v>46269.425694444442</v>
      </c>
      <c r="B147" s="12" t="s">
        <v>397</v>
      </c>
      <c r="C147" s="12" t="s">
        <v>404</v>
      </c>
      <c r="D147" s="12"/>
      <c r="E147" s="12" t="s">
        <v>848</v>
      </c>
      <c r="F147" s="13"/>
      <c r="G147" s="12" t="s">
        <v>848</v>
      </c>
      <c r="H147" s="13"/>
      <c r="I147" s="12" t="s">
        <v>848</v>
      </c>
      <c r="J147" s="13"/>
      <c r="K147" s="12" t="s">
        <v>848</v>
      </c>
      <c r="L147" s="13"/>
      <c r="M147" s="12" t="s">
        <v>401</v>
      </c>
      <c r="N147" s="12" t="s">
        <v>410</v>
      </c>
      <c r="O147" s="12" t="str">
        <f>IF(TabelaRespostas[[#This Row],[Momento do Envio]]&gt;=1,"SIM","NÃO")</f>
        <v>SIM</v>
      </c>
      <c r="P147" s="12" t="s">
        <v>898</v>
      </c>
      <c r="Q147" s="14"/>
    </row>
    <row r="148" spans="1:17" ht="15" customHeight="1" x14ac:dyDescent="0.3">
      <c r="A148" s="15">
        <v>46269.425694444442</v>
      </c>
      <c r="B148" s="12" t="s">
        <v>397</v>
      </c>
      <c r="C148" s="12" t="s">
        <v>407</v>
      </c>
      <c r="D148" s="12"/>
      <c r="E148" s="12" t="s">
        <v>848</v>
      </c>
      <c r="F148" s="13"/>
      <c r="G148" s="12" t="s">
        <v>848</v>
      </c>
      <c r="H148" s="13"/>
      <c r="I148" s="12" t="s">
        <v>848</v>
      </c>
      <c r="J148" s="13"/>
      <c r="K148" s="12" t="s">
        <v>848</v>
      </c>
      <c r="L148" s="13"/>
      <c r="M148" s="12" t="s">
        <v>401</v>
      </c>
      <c r="N148" s="12" t="s">
        <v>404</v>
      </c>
      <c r="O148" s="12" t="str">
        <f>IF(TabelaRespostas[[#This Row],[Momento do Envio]]&gt;=1,"SIM","NÃO")</f>
        <v>SIM</v>
      </c>
      <c r="P148" s="12" t="s">
        <v>898</v>
      </c>
      <c r="Q148" s="14"/>
    </row>
    <row r="149" spans="1:17" ht="15" customHeight="1" x14ac:dyDescent="0.3">
      <c r="A149" s="15">
        <v>46269.425694444442</v>
      </c>
      <c r="B149" s="12" t="s">
        <v>397</v>
      </c>
      <c r="C149" s="12" t="s">
        <v>407</v>
      </c>
      <c r="D149" s="12"/>
      <c r="E149" s="12" t="s">
        <v>848</v>
      </c>
      <c r="F149" s="13"/>
      <c r="G149" s="12" t="s">
        <v>848</v>
      </c>
      <c r="H149" s="13"/>
      <c r="I149" s="12" t="s">
        <v>848</v>
      </c>
      <c r="J149" s="13"/>
      <c r="K149" s="12" t="s">
        <v>848</v>
      </c>
      <c r="L149" s="13"/>
      <c r="M149" s="12" t="s">
        <v>401</v>
      </c>
      <c r="N149" s="12" t="s">
        <v>404</v>
      </c>
      <c r="O149" s="12" t="str">
        <f>IF(TabelaRespostas[[#This Row],[Momento do Envio]]&gt;=1,"SIM","NÃO")</f>
        <v>SIM</v>
      </c>
      <c r="P149" s="12" t="s">
        <v>898</v>
      </c>
      <c r="Q149" s="14"/>
    </row>
    <row r="150" spans="1:17" ht="15" customHeight="1" x14ac:dyDescent="0.3">
      <c r="A150" s="15">
        <v>46269.425694444442</v>
      </c>
      <c r="B150" s="12" t="s">
        <v>397</v>
      </c>
      <c r="C150" s="12" t="s">
        <v>407</v>
      </c>
      <c r="D150" s="12"/>
      <c r="E150" s="12" t="s">
        <v>848</v>
      </c>
      <c r="F150" s="13"/>
      <c r="G150" s="12" t="s">
        <v>848</v>
      </c>
      <c r="H150" s="13"/>
      <c r="I150" s="12" t="s">
        <v>848</v>
      </c>
      <c r="J150" s="13"/>
      <c r="K150" s="12" t="s">
        <v>848</v>
      </c>
      <c r="L150" s="13"/>
      <c r="M150" s="12" t="s">
        <v>401</v>
      </c>
      <c r="N150" s="12" t="s">
        <v>404</v>
      </c>
      <c r="O150" s="12" t="str">
        <f>IF(TabelaRespostas[[#This Row],[Momento do Envio]]&gt;=1,"SIM","NÃO")</f>
        <v>SIM</v>
      </c>
      <c r="P150" s="12" t="s">
        <v>898</v>
      </c>
      <c r="Q150" s="14"/>
    </row>
    <row r="151" spans="1:17" ht="15" customHeight="1" x14ac:dyDescent="0.3">
      <c r="A151" s="15">
        <v>46269.425694444442</v>
      </c>
      <c r="B151" s="12" t="s">
        <v>397</v>
      </c>
      <c r="C151" s="12" t="s">
        <v>410</v>
      </c>
      <c r="D151" s="12"/>
      <c r="E151" s="12" t="s">
        <v>848</v>
      </c>
      <c r="F151" s="13"/>
      <c r="G151" s="12" t="s">
        <v>848</v>
      </c>
      <c r="H151" s="13"/>
      <c r="I151" s="12" t="s">
        <v>848</v>
      </c>
      <c r="J151" s="13"/>
      <c r="K151" s="12" t="s">
        <v>848</v>
      </c>
      <c r="L151" s="13"/>
      <c r="M151" s="12" t="s">
        <v>413</v>
      </c>
      <c r="N151" s="12" t="s">
        <v>404</v>
      </c>
      <c r="O151" s="12" t="str">
        <f>IF(TabelaRespostas[[#This Row],[Momento do Envio]]&gt;=1,"SIM","NÃO")</f>
        <v>SIM</v>
      </c>
      <c r="P151" s="12" t="s">
        <v>898</v>
      </c>
      <c r="Q151" s="14"/>
    </row>
    <row r="152" spans="1:17" ht="15" customHeight="1" x14ac:dyDescent="0.3">
      <c r="A152" s="15">
        <v>46269.425694444442</v>
      </c>
      <c r="B152" s="12" t="s">
        <v>397</v>
      </c>
      <c r="C152" s="12" t="s">
        <v>410</v>
      </c>
      <c r="D152" s="12"/>
      <c r="E152" s="12" t="s">
        <v>848</v>
      </c>
      <c r="F152" s="13"/>
      <c r="G152" s="12" t="s">
        <v>848</v>
      </c>
      <c r="H152" s="13"/>
      <c r="I152" s="12" t="s">
        <v>848</v>
      </c>
      <c r="J152" s="13"/>
      <c r="K152" s="12" t="s">
        <v>848</v>
      </c>
      <c r="L152" s="13"/>
      <c r="M152" s="12" t="s">
        <v>413</v>
      </c>
      <c r="N152" s="12" t="s">
        <v>404</v>
      </c>
      <c r="O152" s="12" t="str">
        <f>IF(TabelaRespostas[[#This Row],[Momento do Envio]]&gt;=1,"SIM","NÃO")</f>
        <v>SIM</v>
      </c>
      <c r="P152" s="12" t="s">
        <v>898</v>
      </c>
      <c r="Q152" s="14"/>
    </row>
    <row r="153" spans="1:17" ht="15" customHeight="1" x14ac:dyDescent="0.3">
      <c r="A153" s="15">
        <v>46269.425694444442</v>
      </c>
      <c r="B153" s="12" t="s">
        <v>397</v>
      </c>
      <c r="C153" s="12" t="s">
        <v>410</v>
      </c>
      <c r="D153" s="12"/>
      <c r="E153" s="12" t="s">
        <v>848</v>
      </c>
      <c r="F153" s="13"/>
      <c r="G153" s="12" t="s">
        <v>848</v>
      </c>
      <c r="H153" s="13"/>
      <c r="I153" s="12" t="s">
        <v>848</v>
      </c>
      <c r="J153" s="13"/>
      <c r="K153" s="12" t="s">
        <v>848</v>
      </c>
      <c r="L153" s="13"/>
      <c r="M153" s="12" t="s">
        <v>413</v>
      </c>
      <c r="N153" s="12" t="s">
        <v>404</v>
      </c>
      <c r="O153" s="12" t="str">
        <f>IF(TabelaRespostas[[#This Row],[Momento do Envio]]&gt;=1,"SIM","NÃO")</f>
        <v>SIM</v>
      </c>
      <c r="P153" s="12" t="s">
        <v>898</v>
      </c>
      <c r="Q153" s="14"/>
    </row>
    <row r="154" spans="1:17" ht="15" customHeight="1" x14ac:dyDescent="0.3">
      <c r="A154" s="15">
        <v>46269.425694444442</v>
      </c>
      <c r="B154" s="12" t="s">
        <v>397</v>
      </c>
      <c r="C154" s="12" t="s">
        <v>413</v>
      </c>
      <c r="D154" s="12"/>
      <c r="E154" s="12" t="s">
        <v>848</v>
      </c>
      <c r="F154" s="13"/>
      <c r="G154" s="12" t="s">
        <v>848</v>
      </c>
      <c r="H154" s="13"/>
      <c r="I154" s="12" t="s">
        <v>848</v>
      </c>
      <c r="J154" s="13"/>
      <c r="K154" s="12" t="s">
        <v>848</v>
      </c>
      <c r="L154" s="13"/>
      <c r="M154" s="12" t="s">
        <v>401</v>
      </c>
      <c r="N154" s="12" t="s">
        <v>407</v>
      </c>
      <c r="O154" s="12" t="str">
        <f>IF(TabelaRespostas[[#This Row],[Momento do Envio]]&gt;=1,"SIM","NÃO")</f>
        <v>SIM</v>
      </c>
      <c r="P154" s="12" t="s">
        <v>898</v>
      </c>
      <c r="Q154" s="14"/>
    </row>
    <row r="155" spans="1:17" ht="15" customHeight="1" x14ac:dyDescent="0.3">
      <c r="A155" s="15">
        <v>46269.425694444442</v>
      </c>
      <c r="B155" s="12" t="s">
        <v>397</v>
      </c>
      <c r="C155" s="12" t="s">
        <v>413</v>
      </c>
      <c r="D155" s="12"/>
      <c r="E155" s="12" t="s">
        <v>848</v>
      </c>
      <c r="F155" s="13"/>
      <c r="G155" s="12" t="s">
        <v>848</v>
      </c>
      <c r="H155" s="13"/>
      <c r="I155" s="12" t="s">
        <v>848</v>
      </c>
      <c r="J155" s="13"/>
      <c r="K155" s="12" t="s">
        <v>848</v>
      </c>
      <c r="L155" s="13"/>
      <c r="M155" s="12" t="s">
        <v>401</v>
      </c>
      <c r="N155" s="12" t="s">
        <v>407</v>
      </c>
      <c r="O155" s="12" t="str">
        <f>IF(TabelaRespostas[[#This Row],[Momento do Envio]]&gt;=1,"SIM","NÃO")</f>
        <v>SIM</v>
      </c>
      <c r="P155" s="12" t="s">
        <v>898</v>
      </c>
      <c r="Q155" s="14"/>
    </row>
    <row r="156" spans="1:17" ht="15" customHeight="1" x14ac:dyDescent="0.3">
      <c r="A156" s="15">
        <v>46269.425694444442</v>
      </c>
      <c r="B156" s="12" t="s">
        <v>397</v>
      </c>
      <c r="C156" s="12" t="s">
        <v>413</v>
      </c>
      <c r="D156" s="12"/>
      <c r="E156" s="12" t="s">
        <v>848</v>
      </c>
      <c r="F156" s="13"/>
      <c r="G156" s="12" t="s">
        <v>848</v>
      </c>
      <c r="H156" s="13"/>
      <c r="I156" s="12" t="s">
        <v>848</v>
      </c>
      <c r="J156" s="13"/>
      <c r="K156" s="12" t="s">
        <v>848</v>
      </c>
      <c r="L156" s="13"/>
      <c r="M156" s="12" t="s">
        <v>401</v>
      </c>
      <c r="N156" s="12" t="s">
        <v>407</v>
      </c>
      <c r="O156" s="12" t="str">
        <f>IF(TabelaRespostas[[#This Row],[Momento do Envio]]&gt;=1,"SIM","NÃO")</f>
        <v>SIM</v>
      </c>
      <c r="P156" s="12" t="s">
        <v>898</v>
      </c>
      <c r="Q156" s="14"/>
    </row>
    <row r="157" spans="1:17" ht="15" customHeight="1" x14ac:dyDescent="0.3">
      <c r="A157" s="15">
        <v>46269.442361111112</v>
      </c>
      <c r="B157" s="12" t="s">
        <v>519</v>
      </c>
      <c r="C157" s="12" t="s">
        <v>522</v>
      </c>
      <c r="D157" s="12"/>
      <c r="E157" s="12" t="s">
        <v>848</v>
      </c>
      <c r="F157" s="13"/>
      <c r="G157" s="12" t="s">
        <v>848</v>
      </c>
      <c r="H157" s="13"/>
      <c r="I157" s="12" t="s">
        <v>848</v>
      </c>
      <c r="J157" s="13"/>
      <c r="K157" s="12" t="s">
        <v>848</v>
      </c>
      <c r="L157" s="13"/>
      <c r="M157" s="12" t="s">
        <v>529</v>
      </c>
      <c r="N157" s="12" t="s">
        <v>532</v>
      </c>
      <c r="O157" s="12" t="str">
        <f>IF(TabelaRespostas[[#This Row],[Momento do Envio]]&gt;=1,"SIM","NÃO")</f>
        <v>SIM</v>
      </c>
      <c r="P157" s="12" t="s">
        <v>899</v>
      </c>
      <c r="Q157" s="14"/>
    </row>
    <row r="158" spans="1:17" ht="15" customHeight="1" x14ac:dyDescent="0.3">
      <c r="A158" s="15">
        <v>46269.442361111112</v>
      </c>
      <c r="B158" s="12" t="s">
        <v>519</v>
      </c>
      <c r="C158" s="12" t="s">
        <v>526</v>
      </c>
      <c r="D158" s="12"/>
      <c r="E158" s="12" t="s">
        <v>848</v>
      </c>
      <c r="F158" s="13"/>
      <c r="G158" s="12" t="s">
        <v>848</v>
      </c>
      <c r="H158" s="13"/>
      <c r="I158" s="12" t="s">
        <v>848</v>
      </c>
      <c r="J158" s="13"/>
      <c r="K158" s="12" t="s">
        <v>848</v>
      </c>
      <c r="L158" s="13"/>
      <c r="M158" s="12" t="s">
        <v>522</v>
      </c>
      <c r="N158" s="12" t="s">
        <v>548</v>
      </c>
      <c r="O158" s="12" t="str">
        <f>IF(TabelaRespostas[[#This Row],[Momento do Envio]]&gt;=1,"SIM","NÃO")</f>
        <v>SIM</v>
      </c>
      <c r="P158" s="12" t="s">
        <v>899</v>
      </c>
      <c r="Q158" s="14"/>
    </row>
    <row r="159" spans="1:17" ht="15" customHeight="1" x14ac:dyDescent="0.3">
      <c r="A159" s="15">
        <v>46269.442361111112</v>
      </c>
      <c r="B159" s="12" t="s">
        <v>519</v>
      </c>
      <c r="C159" s="12" t="s">
        <v>529</v>
      </c>
      <c r="D159" s="12"/>
      <c r="E159" s="12" t="s">
        <v>848</v>
      </c>
      <c r="F159" s="13"/>
      <c r="G159" s="12" t="s">
        <v>848</v>
      </c>
      <c r="H159" s="13"/>
      <c r="I159" s="12" t="s">
        <v>848</v>
      </c>
      <c r="J159" s="13"/>
      <c r="K159" s="12" t="s">
        <v>848</v>
      </c>
      <c r="L159" s="13"/>
      <c r="M159" s="12" t="s">
        <v>522</v>
      </c>
      <c r="N159" s="12" t="s">
        <v>534</v>
      </c>
      <c r="O159" s="12" t="str">
        <f>IF(TabelaRespostas[[#This Row],[Momento do Envio]]&gt;=1,"SIM","NÃO")</f>
        <v>SIM</v>
      </c>
      <c r="P159" s="12" t="s">
        <v>899</v>
      </c>
      <c r="Q159" s="14"/>
    </row>
    <row r="160" spans="1:17" ht="15" customHeight="1" x14ac:dyDescent="0.3">
      <c r="A160" s="15">
        <v>46269.442361111112</v>
      </c>
      <c r="B160" s="12" t="s">
        <v>519</v>
      </c>
      <c r="C160" s="12" t="s">
        <v>532</v>
      </c>
      <c r="D160" s="12"/>
      <c r="E160" s="12" t="s">
        <v>848</v>
      </c>
      <c r="F160" s="13"/>
      <c r="G160" s="12" t="s">
        <v>848</v>
      </c>
      <c r="H160" s="13"/>
      <c r="I160" s="12" t="s">
        <v>848</v>
      </c>
      <c r="J160" s="13"/>
      <c r="K160" s="12" t="s">
        <v>848</v>
      </c>
      <c r="L160" s="13"/>
      <c r="M160" s="12" t="s">
        <v>537</v>
      </c>
      <c r="N160" s="12" t="s">
        <v>541</v>
      </c>
      <c r="O160" s="12" t="str">
        <f>IF(TabelaRespostas[[#This Row],[Momento do Envio]]&gt;=1,"SIM","NÃO")</f>
        <v>SIM</v>
      </c>
      <c r="P160" s="12" t="s">
        <v>899</v>
      </c>
      <c r="Q160" s="14"/>
    </row>
    <row r="161" spans="1:17" ht="15" customHeight="1" x14ac:dyDescent="0.3">
      <c r="A161" s="15">
        <v>46269.442361111112</v>
      </c>
      <c r="B161" s="12" t="s">
        <v>519</v>
      </c>
      <c r="C161" s="12" t="s">
        <v>534</v>
      </c>
      <c r="D161" s="12"/>
      <c r="E161" s="12" t="s">
        <v>848</v>
      </c>
      <c r="F161" s="13"/>
      <c r="G161" s="12" t="s">
        <v>848</v>
      </c>
      <c r="H161" s="13"/>
      <c r="I161" s="12" t="s">
        <v>848</v>
      </c>
      <c r="J161" s="13"/>
      <c r="K161" s="12" t="s">
        <v>848</v>
      </c>
      <c r="L161" s="13"/>
      <c r="M161" s="12" t="s">
        <v>529</v>
      </c>
      <c r="N161" s="12" t="s">
        <v>532</v>
      </c>
      <c r="O161" s="12" t="str">
        <f>IF(TabelaRespostas[[#This Row],[Momento do Envio]]&gt;=1,"SIM","NÃO")</f>
        <v>SIM</v>
      </c>
      <c r="P161" s="12" t="s">
        <v>899</v>
      </c>
      <c r="Q161" s="14"/>
    </row>
    <row r="162" spans="1:17" ht="15" customHeight="1" x14ac:dyDescent="0.3">
      <c r="A162" s="15">
        <v>46269.442361111112</v>
      </c>
      <c r="B162" s="12" t="s">
        <v>519</v>
      </c>
      <c r="C162" s="12" t="s">
        <v>537</v>
      </c>
      <c r="D162" s="12"/>
      <c r="E162" s="12" t="s">
        <v>848</v>
      </c>
      <c r="F162" s="13"/>
      <c r="G162" s="12" t="s">
        <v>848</v>
      </c>
      <c r="H162" s="13"/>
      <c r="I162" s="12" t="s">
        <v>848</v>
      </c>
      <c r="J162" s="13"/>
      <c r="K162" s="12" t="s">
        <v>848</v>
      </c>
      <c r="L162" s="13"/>
      <c r="M162" s="12" t="s">
        <v>546</v>
      </c>
      <c r="N162" s="12" t="s">
        <v>522</v>
      </c>
      <c r="O162" s="12" t="str">
        <f>IF(TabelaRespostas[[#This Row],[Momento do Envio]]&gt;=1,"SIM","NÃO")</f>
        <v>SIM</v>
      </c>
      <c r="P162" s="12" t="s">
        <v>899</v>
      </c>
      <c r="Q162" s="14"/>
    </row>
    <row r="163" spans="1:17" ht="15" customHeight="1" x14ac:dyDescent="0.3">
      <c r="A163" s="15">
        <v>46269.442361111112</v>
      </c>
      <c r="B163" s="12" t="s">
        <v>519</v>
      </c>
      <c r="C163" s="12" t="s">
        <v>539</v>
      </c>
      <c r="D163" s="12"/>
      <c r="E163" s="12" t="s">
        <v>848</v>
      </c>
      <c r="F163" s="13"/>
      <c r="G163" s="12" t="s">
        <v>848</v>
      </c>
      <c r="H163" s="13"/>
      <c r="I163" s="12" t="s">
        <v>848</v>
      </c>
      <c r="J163" s="13"/>
      <c r="K163" s="12" t="s">
        <v>848</v>
      </c>
      <c r="L163" s="13"/>
      <c r="M163" s="12" t="s">
        <v>543</v>
      </c>
      <c r="N163" s="12" t="s">
        <v>541</v>
      </c>
      <c r="O163" s="12" t="str">
        <f>IF(TabelaRespostas[[#This Row],[Momento do Envio]]&gt;=1,"SIM","NÃO")</f>
        <v>SIM</v>
      </c>
      <c r="P163" s="12" t="s">
        <v>899</v>
      </c>
      <c r="Q163" s="14"/>
    </row>
    <row r="164" spans="1:17" ht="15" customHeight="1" x14ac:dyDescent="0.3">
      <c r="A164" s="15">
        <v>46269.442361111112</v>
      </c>
      <c r="B164" s="12" t="s">
        <v>519</v>
      </c>
      <c r="C164" s="12" t="s">
        <v>541</v>
      </c>
      <c r="D164" s="12"/>
      <c r="E164" s="12" t="s">
        <v>848</v>
      </c>
      <c r="F164" s="13"/>
      <c r="G164" s="12" t="s">
        <v>848</v>
      </c>
      <c r="H164" s="13"/>
      <c r="I164" s="12" t="s">
        <v>848</v>
      </c>
      <c r="J164" s="13"/>
      <c r="K164" s="12" t="s">
        <v>848</v>
      </c>
      <c r="L164" s="13"/>
      <c r="M164" s="12" t="s">
        <v>534</v>
      </c>
      <c r="N164" s="12" t="s">
        <v>522</v>
      </c>
      <c r="O164" s="12" t="str">
        <f>IF(TabelaRespostas[[#This Row],[Momento do Envio]]&gt;=1,"SIM","NÃO")</f>
        <v>SIM</v>
      </c>
      <c r="P164" s="12" t="s">
        <v>899</v>
      </c>
      <c r="Q164" s="14"/>
    </row>
    <row r="165" spans="1:17" ht="15" customHeight="1" x14ac:dyDescent="0.3">
      <c r="A165" s="15">
        <v>46269.442361111112</v>
      </c>
      <c r="B165" s="12" t="s">
        <v>519</v>
      </c>
      <c r="C165" s="12" t="s">
        <v>543</v>
      </c>
      <c r="D165" s="12"/>
      <c r="E165" s="12" t="s">
        <v>848</v>
      </c>
      <c r="F165" s="13"/>
      <c r="G165" s="12" t="s">
        <v>848</v>
      </c>
      <c r="H165" s="13"/>
      <c r="I165" s="12" t="s">
        <v>848</v>
      </c>
      <c r="J165" s="13"/>
      <c r="K165" s="12" t="s">
        <v>848</v>
      </c>
      <c r="L165" s="13"/>
      <c r="M165" s="12" t="s">
        <v>539</v>
      </c>
      <c r="N165" s="12" t="s">
        <v>541</v>
      </c>
      <c r="O165" s="12" t="str">
        <f>IF(TabelaRespostas[[#This Row],[Momento do Envio]]&gt;=1,"SIM","NÃO")</f>
        <v>SIM</v>
      </c>
      <c r="P165" s="12" t="s">
        <v>899</v>
      </c>
      <c r="Q165" s="14"/>
    </row>
    <row r="166" spans="1:17" ht="15" customHeight="1" x14ac:dyDescent="0.3">
      <c r="A166" s="15">
        <v>46269.442361111112</v>
      </c>
      <c r="B166" s="12" t="s">
        <v>519</v>
      </c>
      <c r="C166" s="12" t="s">
        <v>546</v>
      </c>
      <c r="D166" s="12"/>
      <c r="E166" s="12" t="s">
        <v>848</v>
      </c>
      <c r="F166" s="13"/>
      <c r="G166" s="12" t="s">
        <v>848</v>
      </c>
      <c r="H166" s="13"/>
      <c r="I166" s="12" t="s">
        <v>848</v>
      </c>
      <c r="J166" s="13"/>
      <c r="K166" s="12" t="s">
        <v>848</v>
      </c>
      <c r="L166" s="13"/>
      <c r="M166" s="12" t="s">
        <v>532</v>
      </c>
      <c r="N166" s="12" t="s">
        <v>537</v>
      </c>
      <c r="O166" s="12" t="str">
        <f>IF(TabelaRespostas[[#This Row],[Momento do Envio]]&gt;=1,"SIM","NÃO")</f>
        <v>SIM</v>
      </c>
      <c r="P166" s="12" t="s">
        <v>899</v>
      </c>
      <c r="Q166" s="14"/>
    </row>
    <row r="167" spans="1:17" ht="15" customHeight="1" x14ac:dyDescent="0.3">
      <c r="A167" s="15">
        <v>46269.442361111112</v>
      </c>
      <c r="B167" s="12" t="s">
        <v>519</v>
      </c>
      <c r="C167" s="12" t="s">
        <v>548</v>
      </c>
      <c r="D167" s="12"/>
      <c r="E167" s="12" t="s">
        <v>848</v>
      </c>
      <c r="F167" s="13"/>
      <c r="G167" s="12" t="s">
        <v>848</v>
      </c>
      <c r="H167" s="13"/>
      <c r="I167" s="12" t="s">
        <v>848</v>
      </c>
      <c r="J167" s="13"/>
      <c r="K167" s="12" t="s">
        <v>848</v>
      </c>
      <c r="L167" s="13"/>
      <c r="M167" s="12" t="s">
        <v>529</v>
      </c>
      <c r="N167" s="12" t="s">
        <v>541</v>
      </c>
      <c r="O167" s="12" t="str">
        <f>IF(TabelaRespostas[[#This Row],[Momento do Envio]]&gt;=1,"SIM","NÃO")</f>
        <v>SIM</v>
      </c>
      <c r="P167" s="12" t="s">
        <v>899</v>
      </c>
      <c r="Q167" s="14"/>
    </row>
    <row r="168" spans="1:17" ht="15" customHeight="1" x14ac:dyDescent="0.3">
      <c r="A168" s="15">
        <v>46269.615972222222</v>
      </c>
      <c r="B168" s="12" t="s">
        <v>643</v>
      </c>
      <c r="C168" s="12" t="s">
        <v>800</v>
      </c>
      <c r="D168" s="12"/>
      <c r="E168" s="12" t="s">
        <v>848</v>
      </c>
      <c r="F168" s="13"/>
      <c r="G168" s="12" t="s">
        <v>848</v>
      </c>
      <c r="H168" s="13"/>
      <c r="I168" s="12" t="s">
        <v>848</v>
      </c>
      <c r="J168" s="13"/>
      <c r="K168" s="12" t="s">
        <v>848</v>
      </c>
      <c r="L168" s="13"/>
      <c r="M168" s="12" t="s">
        <v>810</v>
      </c>
      <c r="N168" s="12" t="s">
        <v>826</v>
      </c>
      <c r="O168" s="12" t="str">
        <f>IF(TabelaRespostas[[#This Row],[Momento do Envio]]&gt;=1,"SIM","NÃO")</f>
        <v>SIM</v>
      </c>
      <c r="P168" s="12" t="s">
        <v>900</v>
      </c>
      <c r="Q168" s="14" t="s">
        <v>901</v>
      </c>
    </row>
    <row r="169" spans="1:17" ht="15" customHeight="1" x14ac:dyDescent="0.3">
      <c r="A169" s="15">
        <v>46269.615972222222</v>
      </c>
      <c r="B169" s="12" t="s">
        <v>643</v>
      </c>
      <c r="C169" s="12" t="s">
        <v>802</v>
      </c>
      <c r="D169" s="12"/>
      <c r="E169" s="12" t="s">
        <v>862</v>
      </c>
      <c r="F169" s="13" t="s">
        <v>519</v>
      </c>
      <c r="G169" s="12" t="s">
        <v>848</v>
      </c>
      <c r="H169" s="13"/>
      <c r="I169" s="12" t="s">
        <v>848</v>
      </c>
      <c r="J169" s="13"/>
      <c r="K169" s="12" t="s">
        <v>862</v>
      </c>
      <c r="L169" s="13"/>
      <c r="M169" s="12" t="s">
        <v>820</v>
      </c>
      <c r="N169" s="12" t="s">
        <v>822</v>
      </c>
      <c r="O169" s="12" t="str">
        <f>IF(TabelaRespostas[[#This Row],[Momento do Envio]]&gt;=1,"SIM","NÃO")</f>
        <v>SIM</v>
      </c>
      <c r="P169" s="12" t="s">
        <v>900</v>
      </c>
      <c r="Q169" s="14" t="s">
        <v>901</v>
      </c>
    </row>
    <row r="170" spans="1:17" ht="15" customHeight="1" x14ac:dyDescent="0.3">
      <c r="A170" s="15">
        <v>46269.615972222222</v>
      </c>
      <c r="B170" s="12" t="s">
        <v>643</v>
      </c>
      <c r="C170" s="12" t="s">
        <v>804</v>
      </c>
      <c r="D170" s="12"/>
      <c r="E170" s="12" t="s">
        <v>848</v>
      </c>
      <c r="F170" s="13"/>
      <c r="G170" s="12" t="s">
        <v>848</v>
      </c>
      <c r="H170" s="13"/>
      <c r="I170" s="12" t="s">
        <v>848</v>
      </c>
      <c r="J170" s="13"/>
      <c r="K170" s="12" t="s">
        <v>848</v>
      </c>
      <c r="L170" s="13"/>
      <c r="M170" s="12" t="s">
        <v>814</v>
      </c>
      <c r="N170" s="12" t="s">
        <v>816</v>
      </c>
      <c r="O170" s="12" t="str">
        <f>IF(TabelaRespostas[[#This Row],[Momento do Envio]]&gt;=1,"SIM","NÃO")</f>
        <v>SIM</v>
      </c>
      <c r="P170" s="12" t="s">
        <v>900</v>
      </c>
      <c r="Q170" s="14" t="s">
        <v>901</v>
      </c>
    </row>
    <row r="171" spans="1:17" ht="15" customHeight="1" x14ac:dyDescent="0.3">
      <c r="A171" s="15">
        <v>46269.615972222222</v>
      </c>
      <c r="B171" s="12" t="s">
        <v>643</v>
      </c>
      <c r="C171" s="12" t="s">
        <v>806</v>
      </c>
      <c r="D171" s="12"/>
      <c r="E171" s="12" t="s">
        <v>848</v>
      </c>
      <c r="F171" s="13"/>
      <c r="G171" s="12" t="s">
        <v>848</v>
      </c>
      <c r="H171" s="13"/>
      <c r="I171" s="12" t="s">
        <v>848</v>
      </c>
      <c r="J171" s="13"/>
      <c r="K171" s="12" t="s">
        <v>848</v>
      </c>
      <c r="L171" s="13"/>
      <c r="M171" s="12" t="s">
        <v>810</v>
      </c>
      <c r="N171" s="12" t="s">
        <v>808</v>
      </c>
      <c r="O171" s="12" t="str">
        <f>IF(TabelaRespostas[[#This Row],[Momento do Envio]]&gt;=1,"SIM","NÃO")</f>
        <v>SIM</v>
      </c>
      <c r="P171" s="12" t="s">
        <v>900</v>
      </c>
      <c r="Q171" s="14" t="s">
        <v>901</v>
      </c>
    </row>
    <row r="172" spans="1:17" ht="15" customHeight="1" x14ac:dyDescent="0.3">
      <c r="A172" s="15">
        <v>46269.615972222222</v>
      </c>
      <c r="B172" s="12" t="s">
        <v>643</v>
      </c>
      <c r="C172" s="12" t="s">
        <v>808</v>
      </c>
      <c r="D172" s="12"/>
      <c r="E172" s="12" t="s">
        <v>848</v>
      </c>
      <c r="F172" s="13"/>
      <c r="G172" s="12" t="s">
        <v>848</v>
      </c>
      <c r="H172" s="13"/>
      <c r="I172" s="12" t="s">
        <v>848</v>
      </c>
      <c r="J172" s="13"/>
      <c r="K172" s="12" t="s">
        <v>848</v>
      </c>
      <c r="L172" s="13"/>
      <c r="M172" s="12" t="s">
        <v>818</v>
      </c>
      <c r="N172" s="12" t="s">
        <v>810</v>
      </c>
      <c r="O172" s="12" t="str">
        <f>IF(TabelaRespostas[[#This Row],[Momento do Envio]]&gt;=1,"SIM","NÃO")</f>
        <v>SIM</v>
      </c>
      <c r="P172" s="12" t="s">
        <v>900</v>
      </c>
      <c r="Q172" s="14" t="s">
        <v>901</v>
      </c>
    </row>
    <row r="173" spans="1:17" ht="15" customHeight="1" x14ac:dyDescent="0.3">
      <c r="A173" s="15">
        <v>46269.615972222222</v>
      </c>
      <c r="B173" s="12" t="s">
        <v>643</v>
      </c>
      <c r="C173" s="12" t="s">
        <v>810</v>
      </c>
      <c r="D173" s="12"/>
      <c r="E173" s="12" t="s">
        <v>848</v>
      </c>
      <c r="F173" s="13"/>
      <c r="G173" s="12" t="s">
        <v>848</v>
      </c>
      <c r="H173" s="13"/>
      <c r="I173" s="12" t="s">
        <v>848</v>
      </c>
      <c r="J173" s="13"/>
      <c r="K173" s="12" t="s">
        <v>848</v>
      </c>
      <c r="L173" s="13"/>
      <c r="M173" s="12" t="s">
        <v>806</v>
      </c>
      <c r="N173" s="12" t="s">
        <v>818</v>
      </c>
      <c r="O173" s="12" t="str">
        <f>IF(TabelaRespostas[[#This Row],[Momento do Envio]]&gt;=1,"SIM","NÃO")</f>
        <v>SIM</v>
      </c>
      <c r="P173" s="12" t="s">
        <v>900</v>
      </c>
      <c r="Q173" s="14" t="s">
        <v>901</v>
      </c>
    </row>
    <row r="174" spans="1:17" ht="15" customHeight="1" x14ac:dyDescent="0.3">
      <c r="A174" s="15">
        <v>46269.615972222222</v>
      </c>
      <c r="B174" s="12" t="s">
        <v>643</v>
      </c>
      <c r="C174" s="12" t="s">
        <v>812</v>
      </c>
      <c r="D174" s="12"/>
      <c r="E174" s="12" t="s">
        <v>862</v>
      </c>
      <c r="F174" s="13" t="s">
        <v>287</v>
      </c>
      <c r="G174" s="12" t="s">
        <v>848</v>
      </c>
      <c r="H174" s="13"/>
      <c r="I174" s="12" t="s">
        <v>848</v>
      </c>
      <c r="J174" s="13"/>
      <c r="K174" s="12" t="s">
        <v>862</v>
      </c>
      <c r="L174" s="13"/>
      <c r="M174" s="12" t="s">
        <v>828</v>
      </c>
      <c r="N174" s="12" t="s">
        <v>802</v>
      </c>
      <c r="O174" s="12" t="str">
        <f>IF(TabelaRespostas[[#This Row],[Momento do Envio]]&gt;=1,"SIM","NÃO")</f>
        <v>SIM</v>
      </c>
      <c r="P174" s="12" t="s">
        <v>900</v>
      </c>
      <c r="Q174" s="14" t="s">
        <v>901</v>
      </c>
    </row>
    <row r="175" spans="1:17" ht="15" customHeight="1" x14ac:dyDescent="0.3">
      <c r="A175" s="15">
        <v>46269.615972222222</v>
      </c>
      <c r="B175" s="12" t="s">
        <v>643</v>
      </c>
      <c r="C175" s="12" t="s">
        <v>814</v>
      </c>
      <c r="D175" s="12"/>
      <c r="E175" s="12" t="s">
        <v>848</v>
      </c>
      <c r="F175" s="13"/>
      <c r="G175" s="12" t="s">
        <v>848</v>
      </c>
      <c r="H175" s="13"/>
      <c r="I175" s="12" t="s">
        <v>848</v>
      </c>
      <c r="J175" s="13"/>
      <c r="K175" s="12" t="s">
        <v>848</v>
      </c>
      <c r="L175" s="13"/>
      <c r="M175" s="12" t="s">
        <v>816</v>
      </c>
      <c r="N175" s="12" t="s">
        <v>826</v>
      </c>
      <c r="O175" s="12" t="str">
        <f>IF(TabelaRespostas[[#This Row],[Momento do Envio]]&gt;=1,"SIM","NÃO")</f>
        <v>SIM</v>
      </c>
      <c r="P175" s="12" t="s">
        <v>900</v>
      </c>
      <c r="Q175" s="14" t="s">
        <v>901</v>
      </c>
    </row>
    <row r="176" spans="1:17" ht="15" customHeight="1" x14ac:dyDescent="0.3">
      <c r="A176" s="15">
        <v>46269.615972222222</v>
      </c>
      <c r="B176" s="12" t="s">
        <v>643</v>
      </c>
      <c r="C176" s="12" t="s">
        <v>816</v>
      </c>
      <c r="D176" s="12"/>
      <c r="E176" s="12" t="s">
        <v>848</v>
      </c>
      <c r="F176" s="13"/>
      <c r="G176" s="12" t="s">
        <v>848</v>
      </c>
      <c r="H176" s="13"/>
      <c r="I176" s="12" t="s">
        <v>848</v>
      </c>
      <c r="J176" s="13"/>
      <c r="K176" s="12" t="s">
        <v>848</v>
      </c>
      <c r="L176" s="13"/>
      <c r="M176" s="12" t="s">
        <v>814</v>
      </c>
      <c r="N176" s="12" t="s">
        <v>820</v>
      </c>
      <c r="O176" s="12" t="str">
        <f>IF(TabelaRespostas[[#This Row],[Momento do Envio]]&gt;=1,"SIM","NÃO")</f>
        <v>SIM</v>
      </c>
      <c r="P176" s="12" t="s">
        <v>900</v>
      </c>
      <c r="Q176" s="14" t="s">
        <v>901</v>
      </c>
    </row>
    <row r="177" spans="1:17" ht="15" customHeight="1" x14ac:dyDescent="0.3">
      <c r="A177" s="15">
        <v>46269.615972222222</v>
      </c>
      <c r="B177" s="12" t="s">
        <v>643</v>
      </c>
      <c r="C177" s="12" t="s">
        <v>818</v>
      </c>
      <c r="D177" s="12"/>
      <c r="E177" s="12" t="s">
        <v>848</v>
      </c>
      <c r="F177" s="13"/>
      <c r="G177" s="12" t="s">
        <v>848</v>
      </c>
      <c r="H177" s="13"/>
      <c r="I177" s="12" t="s">
        <v>848</v>
      </c>
      <c r="J177" s="13"/>
      <c r="K177" s="12" t="s">
        <v>848</v>
      </c>
      <c r="L177" s="13"/>
      <c r="M177" s="12" t="s">
        <v>808</v>
      </c>
      <c r="N177" s="12" t="s">
        <v>820</v>
      </c>
      <c r="O177" s="12" t="str">
        <f>IF(TabelaRespostas[[#This Row],[Momento do Envio]]&gt;=1,"SIM","NÃO")</f>
        <v>SIM</v>
      </c>
      <c r="P177" s="12" t="s">
        <v>900</v>
      </c>
      <c r="Q177" s="14" t="s">
        <v>901</v>
      </c>
    </row>
    <row r="178" spans="1:17" ht="15" customHeight="1" x14ac:dyDescent="0.3">
      <c r="A178" s="15">
        <v>46269.615972222222</v>
      </c>
      <c r="B178" s="12" t="s">
        <v>643</v>
      </c>
      <c r="C178" s="12" t="s">
        <v>820</v>
      </c>
      <c r="D178" s="12"/>
      <c r="E178" s="12" t="s">
        <v>862</v>
      </c>
      <c r="F178" s="13" t="s">
        <v>519</v>
      </c>
      <c r="G178" s="12" t="s">
        <v>848</v>
      </c>
      <c r="H178" s="13"/>
      <c r="I178" s="12" t="s">
        <v>848</v>
      </c>
      <c r="J178" s="13"/>
      <c r="K178" s="12" t="s">
        <v>862</v>
      </c>
      <c r="L178" s="13"/>
      <c r="M178" s="12" t="s">
        <v>822</v>
      </c>
      <c r="N178" s="12" t="s">
        <v>818</v>
      </c>
      <c r="O178" s="12" t="str">
        <f>IF(TabelaRespostas[[#This Row],[Momento do Envio]]&gt;=1,"SIM","NÃO")</f>
        <v>SIM</v>
      </c>
      <c r="P178" s="12" t="s">
        <v>900</v>
      </c>
      <c r="Q178" s="14" t="s">
        <v>901</v>
      </c>
    </row>
    <row r="179" spans="1:17" ht="15" customHeight="1" x14ac:dyDescent="0.3">
      <c r="A179" s="15">
        <v>46269.615972222222</v>
      </c>
      <c r="B179" s="12" t="s">
        <v>643</v>
      </c>
      <c r="C179" s="12" t="s">
        <v>822</v>
      </c>
      <c r="D179" s="12"/>
      <c r="E179" s="12" t="s">
        <v>862</v>
      </c>
      <c r="F179" s="13" t="s">
        <v>519</v>
      </c>
      <c r="G179" s="12" t="s">
        <v>848</v>
      </c>
      <c r="H179" s="13"/>
      <c r="I179" s="12" t="s">
        <v>848</v>
      </c>
      <c r="J179" s="13"/>
      <c r="K179" s="12" t="s">
        <v>862</v>
      </c>
      <c r="L179" s="13"/>
      <c r="M179" s="12" t="s">
        <v>802</v>
      </c>
      <c r="N179" s="12" t="s">
        <v>820</v>
      </c>
      <c r="O179" s="12" t="str">
        <f>IF(TabelaRespostas[[#This Row],[Momento do Envio]]&gt;=1,"SIM","NÃO")</f>
        <v>SIM</v>
      </c>
      <c r="P179" s="12" t="s">
        <v>900</v>
      </c>
      <c r="Q179" s="14" t="s">
        <v>901</v>
      </c>
    </row>
    <row r="180" spans="1:17" ht="15" customHeight="1" x14ac:dyDescent="0.3">
      <c r="A180" s="15">
        <v>46269.615972222222</v>
      </c>
      <c r="B180" s="12" t="s">
        <v>643</v>
      </c>
      <c r="C180" s="12" t="s">
        <v>824</v>
      </c>
      <c r="D180" s="12"/>
      <c r="E180" s="12" t="s">
        <v>848</v>
      </c>
      <c r="F180" s="13"/>
      <c r="G180" s="12" t="s">
        <v>848</v>
      </c>
      <c r="H180" s="13"/>
      <c r="I180" s="12" t="s">
        <v>848</v>
      </c>
      <c r="J180" s="13"/>
      <c r="K180" s="12" t="s">
        <v>848</v>
      </c>
      <c r="L180" s="13"/>
      <c r="M180" s="12" t="s">
        <v>806</v>
      </c>
      <c r="N180" s="12" t="s">
        <v>802</v>
      </c>
      <c r="O180" s="12" t="str">
        <f>IF(TabelaRespostas[[#This Row],[Momento do Envio]]&gt;=1,"SIM","NÃO")</f>
        <v>SIM</v>
      </c>
      <c r="P180" s="12" t="s">
        <v>900</v>
      </c>
      <c r="Q180" s="14" t="s">
        <v>901</v>
      </c>
    </row>
    <row r="181" spans="1:17" ht="15" customHeight="1" x14ac:dyDescent="0.3">
      <c r="A181" s="15">
        <v>46269.615972222222</v>
      </c>
      <c r="B181" s="12" t="s">
        <v>643</v>
      </c>
      <c r="C181" s="12" t="s">
        <v>826</v>
      </c>
      <c r="D181" s="12"/>
      <c r="E181" s="12" t="s">
        <v>848</v>
      </c>
      <c r="F181" s="13"/>
      <c r="G181" s="12" t="s">
        <v>848</v>
      </c>
      <c r="H181" s="13"/>
      <c r="I181" s="12" t="s">
        <v>848</v>
      </c>
      <c r="J181" s="13"/>
      <c r="K181" s="12" t="s">
        <v>848</v>
      </c>
      <c r="L181" s="13"/>
      <c r="M181" s="12" t="s">
        <v>800</v>
      </c>
      <c r="N181" s="12" t="s">
        <v>810</v>
      </c>
      <c r="O181" s="12" t="str">
        <f>IF(TabelaRespostas[[#This Row],[Momento do Envio]]&gt;=1,"SIM","NÃO")</f>
        <v>SIM</v>
      </c>
      <c r="P181" s="12" t="s">
        <v>900</v>
      </c>
      <c r="Q181" s="14" t="s">
        <v>901</v>
      </c>
    </row>
    <row r="182" spans="1:17" ht="15" customHeight="1" x14ac:dyDescent="0.3">
      <c r="A182" s="15">
        <v>46269.615972222222</v>
      </c>
      <c r="B182" s="12" t="s">
        <v>643</v>
      </c>
      <c r="C182" s="12" t="s">
        <v>828</v>
      </c>
      <c r="D182" s="12"/>
      <c r="E182" s="12" t="s">
        <v>848</v>
      </c>
      <c r="F182" s="13"/>
      <c r="G182" s="12" t="s">
        <v>848</v>
      </c>
      <c r="H182" s="13"/>
      <c r="I182" s="12" t="s">
        <v>848</v>
      </c>
      <c r="J182" s="13"/>
      <c r="K182" s="12" t="s">
        <v>848</v>
      </c>
      <c r="L182" s="13"/>
      <c r="M182" s="12" t="s">
        <v>812</v>
      </c>
      <c r="N182" s="12" t="s">
        <v>814</v>
      </c>
      <c r="O182" s="12" t="str">
        <f>IF(TabelaRespostas[[#This Row],[Momento do Envio]]&gt;=1,"SIM","NÃO")</f>
        <v>SIM</v>
      </c>
      <c r="P182" s="12" t="s">
        <v>900</v>
      </c>
      <c r="Q182" s="14" t="s">
        <v>901</v>
      </c>
    </row>
    <row r="183" spans="1:17" ht="15" customHeight="1" x14ac:dyDescent="0.3">
      <c r="A183" s="15">
        <v>46269.615972222222</v>
      </c>
      <c r="B183" s="12" t="s">
        <v>643</v>
      </c>
      <c r="C183" s="12" t="s">
        <v>830</v>
      </c>
      <c r="D183" s="12"/>
      <c r="E183" s="12" t="s">
        <v>862</v>
      </c>
      <c r="F183" s="13" t="s">
        <v>291</v>
      </c>
      <c r="G183" s="12" t="s">
        <v>848</v>
      </c>
      <c r="H183" s="13"/>
      <c r="I183" s="12" t="s">
        <v>848</v>
      </c>
      <c r="J183" s="13"/>
      <c r="K183" s="12" t="s">
        <v>862</v>
      </c>
      <c r="L183" s="13"/>
      <c r="M183" s="12" t="s">
        <v>287</v>
      </c>
      <c r="N183" s="12" t="s">
        <v>470</v>
      </c>
      <c r="O183" s="12" t="str">
        <f>IF(TabelaRespostas[[#This Row],[Momento do Envio]]&gt;=1,"SIM","NÃO")</f>
        <v>SIM</v>
      </c>
      <c r="P183" s="12" t="s">
        <v>900</v>
      </c>
      <c r="Q183" s="14" t="s">
        <v>901</v>
      </c>
    </row>
    <row r="184" spans="1:17" ht="15" customHeight="1" x14ac:dyDescent="0.3">
      <c r="A184" s="15">
        <v>46269.723611111112</v>
      </c>
      <c r="B184" s="12" t="s">
        <v>603</v>
      </c>
      <c r="C184" s="12" t="s">
        <v>605</v>
      </c>
      <c r="D184" s="12"/>
      <c r="E184" s="12" t="s">
        <v>848</v>
      </c>
      <c r="F184" s="13"/>
      <c r="G184" s="12" t="s">
        <v>848</v>
      </c>
      <c r="H184" s="13"/>
      <c r="I184" s="12" t="s">
        <v>848</v>
      </c>
      <c r="J184" s="13"/>
      <c r="K184" s="12" t="s">
        <v>848</v>
      </c>
      <c r="L184" s="13"/>
      <c r="M184" s="12" t="s">
        <v>612</v>
      </c>
      <c r="N184" s="12" t="s">
        <v>753</v>
      </c>
      <c r="O184" s="12" t="str">
        <f>IF(TabelaRespostas[[#This Row],[Momento do Envio]]&gt;=1,"SIM","NÃO")</f>
        <v>SIM</v>
      </c>
      <c r="P184" s="12" t="s">
        <v>902</v>
      </c>
      <c r="Q184" s="14"/>
    </row>
    <row r="185" spans="1:17" ht="15" customHeight="1" x14ac:dyDescent="0.3">
      <c r="A185" s="15">
        <v>46269.723611111112</v>
      </c>
      <c r="B185" s="12" t="s">
        <v>603</v>
      </c>
      <c r="C185" s="12" t="s">
        <v>609</v>
      </c>
      <c r="D185" s="12"/>
      <c r="E185" s="12" t="s">
        <v>848</v>
      </c>
      <c r="F185" s="13"/>
      <c r="G185" s="12" t="s">
        <v>848</v>
      </c>
      <c r="H185" s="13"/>
      <c r="I185" s="12" t="s">
        <v>848</v>
      </c>
      <c r="J185" s="13"/>
      <c r="K185" s="12" t="s">
        <v>848</v>
      </c>
      <c r="L185" s="13"/>
      <c r="M185" s="12" t="s">
        <v>612</v>
      </c>
      <c r="N185" s="12" t="s">
        <v>756</v>
      </c>
      <c r="O185" s="12" t="str">
        <f>IF(TabelaRespostas[[#This Row],[Momento do Envio]]&gt;=1,"SIM","NÃO")</f>
        <v>SIM</v>
      </c>
      <c r="P185" s="12" t="s">
        <v>902</v>
      </c>
      <c r="Q185" s="14"/>
    </row>
    <row r="186" spans="1:17" ht="15" customHeight="1" x14ac:dyDescent="0.3">
      <c r="A186" s="15">
        <v>46269.723611111112</v>
      </c>
      <c r="B186" s="12" t="s">
        <v>603</v>
      </c>
      <c r="C186" s="12" t="s">
        <v>612</v>
      </c>
      <c r="D186" s="12"/>
      <c r="E186" s="12" t="s">
        <v>848</v>
      </c>
      <c r="F186" s="13"/>
      <c r="G186" s="12" t="s">
        <v>848</v>
      </c>
      <c r="H186" s="13"/>
      <c r="I186" s="12" t="s">
        <v>848</v>
      </c>
      <c r="J186" s="13"/>
      <c r="K186" s="12" t="s">
        <v>848</v>
      </c>
      <c r="L186" s="13"/>
      <c r="M186" s="12" t="s">
        <v>615</v>
      </c>
      <c r="N186" s="12" t="s">
        <v>747</v>
      </c>
      <c r="O186" s="12" t="str">
        <f>IF(TabelaRespostas[[#This Row],[Momento do Envio]]&gt;=1,"SIM","NÃO")</f>
        <v>SIM</v>
      </c>
      <c r="P186" s="12" t="s">
        <v>902</v>
      </c>
      <c r="Q186" s="14"/>
    </row>
    <row r="187" spans="1:17" ht="15" customHeight="1" x14ac:dyDescent="0.3">
      <c r="A187" s="15">
        <v>46269.723611111112</v>
      </c>
      <c r="B187" s="12" t="s">
        <v>603</v>
      </c>
      <c r="C187" s="12" t="s">
        <v>615</v>
      </c>
      <c r="D187" s="12"/>
      <c r="E187" s="12" t="s">
        <v>848</v>
      </c>
      <c r="F187" s="13"/>
      <c r="G187" s="12" t="s">
        <v>848</v>
      </c>
      <c r="H187" s="13"/>
      <c r="I187" s="12" t="s">
        <v>848</v>
      </c>
      <c r="J187" s="13"/>
      <c r="K187" s="12" t="s">
        <v>848</v>
      </c>
      <c r="L187" s="13"/>
      <c r="M187" s="12" t="s">
        <v>612</v>
      </c>
      <c r="N187" s="12" t="s">
        <v>751</v>
      </c>
      <c r="O187" s="12" t="str">
        <f>IF(TabelaRespostas[[#This Row],[Momento do Envio]]&gt;=1,"SIM","NÃO")</f>
        <v>SIM</v>
      </c>
      <c r="P187" s="12" t="s">
        <v>902</v>
      </c>
      <c r="Q187" s="14"/>
    </row>
    <row r="188" spans="1:17" ht="15" customHeight="1" x14ac:dyDescent="0.3">
      <c r="A188" s="15">
        <v>46269.73541666667</v>
      </c>
      <c r="B188" s="12" t="s">
        <v>104</v>
      </c>
      <c r="C188" s="12" t="s">
        <v>107</v>
      </c>
      <c r="D188" s="12"/>
      <c r="E188" s="12" t="s">
        <v>848</v>
      </c>
      <c r="F188" s="13"/>
      <c r="G188" s="12" t="s">
        <v>848</v>
      </c>
      <c r="H188" s="13"/>
      <c r="I188" s="12" t="s">
        <v>848</v>
      </c>
      <c r="J188" s="13"/>
      <c r="K188" s="12" t="s">
        <v>848</v>
      </c>
      <c r="L188" s="13"/>
      <c r="M188" s="12" t="s">
        <v>261</v>
      </c>
      <c r="N188" s="12" t="s">
        <v>183</v>
      </c>
      <c r="O188" s="12" t="str">
        <f>IF(TabelaRespostas[[#This Row],[Momento do Envio]]&gt;=1,"SIM","NÃO")</f>
        <v>SIM</v>
      </c>
      <c r="P188" s="12" t="s">
        <v>903</v>
      </c>
      <c r="Q188" s="14"/>
    </row>
    <row r="189" spans="1:17" ht="15" customHeight="1" x14ac:dyDescent="0.3">
      <c r="A189" s="15">
        <v>46269.723611111112</v>
      </c>
      <c r="B189" s="16" t="s">
        <v>291</v>
      </c>
      <c r="C189" s="12" t="s">
        <v>341</v>
      </c>
      <c r="D189" s="12"/>
      <c r="E189" s="12" t="s">
        <v>848</v>
      </c>
      <c r="F189" s="13"/>
      <c r="G189" s="12" t="s">
        <v>848</v>
      </c>
      <c r="H189" s="13"/>
      <c r="I189" s="12" t="s">
        <v>848</v>
      </c>
      <c r="J189" s="13"/>
      <c r="K189" s="12" t="s">
        <v>848</v>
      </c>
      <c r="L189" s="13"/>
      <c r="M189" s="12" t="s">
        <v>287</v>
      </c>
      <c r="N189" s="12" t="s">
        <v>476</v>
      </c>
      <c r="O189" s="12" t="str">
        <f>IF(TabelaRespostas[[#This Row],[Momento do Envio]]&gt;=1,"SIM","NÃO")</f>
        <v>SIM</v>
      </c>
      <c r="P189" s="12" t="s">
        <v>902</v>
      </c>
      <c r="Q189" s="14"/>
    </row>
    <row r="190" spans="1:17" ht="15" customHeight="1" x14ac:dyDescent="0.3">
      <c r="A190" s="15">
        <v>46269.73541666667</v>
      </c>
      <c r="B190" s="12" t="s">
        <v>291</v>
      </c>
      <c r="C190" s="12" t="s">
        <v>476</v>
      </c>
      <c r="D190" s="12"/>
      <c r="E190" s="12" t="s">
        <v>848</v>
      </c>
      <c r="F190" s="13"/>
      <c r="G190" s="12" t="s">
        <v>848</v>
      </c>
      <c r="H190" s="13"/>
      <c r="I190" s="12" t="s">
        <v>848</v>
      </c>
      <c r="J190" s="13"/>
      <c r="K190" s="12" t="s">
        <v>848</v>
      </c>
      <c r="L190" s="13"/>
      <c r="M190" s="12" t="s">
        <v>287</v>
      </c>
      <c r="N190" s="12" t="s">
        <v>341</v>
      </c>
      <c r="O190" s="12" t="str">
        <f>IF(TabelaRespostas[[#This Row],[Momento do Envio]]&gt;=1,"SIM","NÃO")</f>
        <v>SIM</v>
      </c>
      <c r="P190" s="12" t="s">
        <v>903</v>
      </c>
      <c r="Q190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0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904</v>
      </c>
      <c r="C1" t="s">
        <v>905</v>
      </c>
      <c r="D1">
        <f>D3-D2</f>
        <v>24</v>
      </c>
    </row>
    <row r="2" spans="1:4" x14ac:dyDescent="0.3">
      <c r="A2" s="5" t="s">
        <v>832</v>
      </c>
      <c r="B2">
        <f>COUNTA(A:A)-2</f>
        <v>37</v>
      </c>
      <c r="C2" t="s">
        <v>906</v>
      </c>
      <c r="D2">
        <f>B2</f>
        <v>37</v>
      </c>
    </row>
    <row r="3" spans="1:4" x14ac:dyDescent="0.3">
      <c r="A3" t="s">
        <v>425</v>
      </c>
      <c r="C3" t="s">
        <v>907</v>
      </c>
      <c r="D3">
        <f>COUNTA(_xlfn.UNIQUE(Base_Dados!A:A))-1</f>
        <v>61</v>
      </c>
    </row>
    <row r="4" spans="1:4" x14ac:dyDescent="0.3">
      <c r="A4" t="s">
        <v>332</v>
      </c>
    </row>
    <row r="5" spans="1:4" x14ac:dyDescent="0.3">
      <c r="A5" t="s">
        <v>29</v>
      </c>
    </row>
    <row r="6" spans="1:4" x14ac:dyDescent="0.3">
      <c r="A6" t="s">
        <v>104</v>
      </c>
    </row>
    <row r="7" spans="1:4" x14ac:dyDescent="0.3">
      <c r="A7" t="s">
        <v>183</v>
      </c>
    </row>
    <row r="8" spans="1:4" x14ac:dyDescent="0.3">
      <c r="A8" t="s">
        <v>502</v>
      </c>
    </row>
    <row r="9" spans="1:4" x14ac:dyDescent="0.3">
      <c r="A9" t="s">
        <v>255</v>
      </c>
    </row>
    <row r="10" spans="1:4" x14ac:dyDescent="0.3">
      <c r="A10" t="s">
        <v>38</v>
      </c>
    </row>
    <row r="11" spans="1:4" x14ac:dyDescent="0.3">
      <c r="A11" t="s">
        <v>341</v>
      </c>
    </row>
    <row r="12" spans="1:4" x14ac:dyDescent="0.3">
      <c r="A12" t="s">
        <v>67</v>
      </c>
    </row>
    <row r="13" spans="1:4" x14ac:dyDescent="0.3">
      <c r="A13" t="s">
        <v>395</v>
      </c>
    </row>
    <row r="14" spans="1:4" x14ac:dyDescent="0.3">
      <c r="A14" t="s">
        <v>504</v>
      </c>
    </row>
    <row r="15" spans="1:4" x14ac:dyDescent="0.3">
      <c r="A15" t="s">
        <v>514</v>
      </c>
    </row>
    <row r="16" spans="1:4" x14ac:dyDescent="0.3">
      <c r="A16" t="s">
        <v>366</v>
      </c>
    </row>
    <row r="17" spans="1:1" x14ac:dyDescent="0.3">
      <c r="A17" t="s">
        <v>270</v>
      </c>
    </row>
    <row r="18" spans="1:1" x14ac:dyDescent="0.3">
      <c r="A18" t="s">
        <v>417</v>
      </c>
    </row>
    <row r="19" spans="1:1" x14ac:dyDescent="0.3">
      <c r="A19" t="s">
        <v>165</v>
      </c>
    </row>
    <row r="20" spans="1:1" x14ac:dyDescent="0.3">
      <c r="A20" t="s">
        <v>326</v>
      </c>
    </row>
    <row r="21" spans="1:1" x14ac:dyDescent="0.3">
      <c r="A21" t="s">
        <v>297</v>
      </c>
    </row>
    <row r="22" spans="1:1" x14ac:dyDescent="0.3">
      <c r="A22" t="s">
        <v>650</v>
      </c>
    </row>
    <row r="23" spans="1:1" x14ac:dyDescent="0.3">
      <c r="A23" t="s">
        <v>371</v>
      </c>
    </row>
    <row r="24" spans="1:1" x14ac:dyDescent="0.3">
      <c r="A24" t="s">
        <v>156</v>
      </c>
    </row>
    <row r="25" spans="1:1" x14ac:dyDescent="0.3">
      <c r="A25" t="s">
        <v>148</v>
      </c>
    </row>
    <row r="26" spans="1:1" x14ac:dyDescent="0.3">
      <c r="A26" t="s">
        <v>111</v>
      </c>
    </row>
    <row r="27" spans="1:1" x14ac:dyDescent="0.3">
      <c r="A27" t="s">
        <v>182</v>
      </c>
    </row>
    <row r="28" spans="1:1" x14ac:dyDescent="0.3">
      <c r="A28" t="s">
        <v>215</v>
      </c>
    </row>
    <row r="29" spans="1:1" x14ac:dyDescent="0.3">
      <c r="A29" t="s">
        <v>57</v>
      </c>
    </row>
    <row r="30" spans="1:1" x14ac:dyDescent="0.3">
      <c r="A30" t="s">
        <v>745</v>
      </c>
    </row>
    <row r="31" spans="1:1" x14ac:dyDescent="0.3">
      <c r="A31" t="s">
        <v>325</v>
      </c>
    </row>
    <row r="32" spans="1:1" x14ac:dyDescent="0.3">
      <c r="A32" t="s">
        <v>209</v>
      </c>
    </row>
    <row r="33" spans="1:1" x14ac:dyDescent="0.3">
      <c r="A33" t="s">
        <v>375</v>
      </c>
    </row>
    <row r="34" spans="1:1" x14ac:dyDescent="0.3">
      <c r="A34" t="s">
        <v>455</v>
      </c>
    </row>
    <row r="35" spans="1:1" x14ac:dyDescent="0.3">
      <c r="A35" t="s">
        <v>397</v>
      </c>
    </row>
    <row r="36" spans="1:1" x14ac:dyDescent="0.3">
      <c r="A36" t="s">
        <v>519</v>
      </c>
    </row>
    <row r="37" spans="1:1" x14ac:dyDescent="0.3">
      <c r="A37" t="s">
        <v>643</v>
      </c>
    </row>
    <row r="38" spans="1:1" x14ac:dyDescent="0.3">
      <c r="A38" t="s">
        <v>603</v>
      </c>
    </row>
    <row r="39" spans="1:1" x14ac:dyDescent="0.3">
      <c r="A39" t="s">
        <v>291</v>
      </c>
    </row>
    <row r="40" spans="1:1" x14ac:dyDescent="0.3">
      <c r="A40" t="s">
        <v>908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A3" sqref="A3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909</v>
      </c>
    </row>
    <row r="2" spans="1:1" x14ac:dyDescent="0.3">
      <c r="A2" s="7" t="str" cm="1">
        <f t="array" ref="A2:A24">_xlfn._xlws.SORT(_xlfn.UNIQUE(_xlfn._xlws.FILTER(Base_Dados!A2:A499, (Base_Dados!A2:A499&lt;&gt;"") * (COUNTIF(Respostas!B:B, Base_Dados!A2:A499)=0),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CAMILA DA SILVA ANDRADE</v>
      </c>
    </row>
    <row r="8" spans="1:1" x14ac:dyDescent="0.3">
      <c r="A8" s="7" t="str">
        <v>CARINE REIS DOS SANTOS</v>
      </c>
    </row>
    <row r="9" spans="1:1" x14ac:dyDescent="0.3">
      <c r="A9" s="7" t="str">
        <v>DANILO ALEXANDRE MONTEIRO DE CASTRO SABBAGH</v>
      </c>
    </row>
    <row r="10" spans="1:1" x14ac:dyDescent="0.3">
      <c r="A10" s="7" t="str">
        <v>DIEGO PIRES</v>
      </c>
    </row>
    <row r="11" spans="1:1" x14ac:dyDescent="0.3">
      <c r="A11" s="7" t="str">
        <v>ELIANE PEREIRA DA SILVA HIDALGO</v>
      </c>
    </row>
    <row r="12" spans="1:1" x14ac:dyDescent="0.3">
      <c r="A12" s="7" t="str">
        <v>FLAVIO HENRIQUE ALMEIDA FERREIRA DE MELO</v>
      </c>
    </row>
    <row r="13" spans="1:1" x14ac:dyDescent="0.3">
      <c r="A13" s="7" t="str">
        <v>LEON DOS REIS CALIXTO</v>
      </c>
    </row>
    <row r="14" spans="1:1" x14ac:dyDescent="0.3">
      <c r="A14" s="7" t="str">
        <v>LUÍS HENRIQUE SOARES DUTRA DE ANDRADE</v>
      </c>
    </row>
    <row r="15" spans="1:1" x14ac:dyDescent="0.3">
      <c r="A15" s="7" t="str">
        <v>RAMON BARCELOS VILAR GUIMARÃES</v>
      </c>
    </row>
    <row r="16" spans="1:1" x14ac:dyDescent="0.3">
      <c r="A16" s="7" t="str">
        <v>RAPHAEL AZEVEDO</v>
      </c>
    </row>
    <row r="17" spans="1:1" x14ac:dyDescent="0.3">
      <c r="A17" s="7" t="str">
        <v>RODRIGO ASSUMPÇÃO</v>
      </c>
    </row>
    <row r="18" spans="1:1" x14ac:dyDescent="0.3">
      <c r="A18" s="7" t="str">
        <v>RONALDO BRUNO DE SOUZA SANTOS</v>
      </c>
    </row>
    <row r="19" spans="1:1" x14ac:dyDescent="0.3">
      <c r="A19" s="7" t="str">
        <v>SANDRO YUKIO YAMANO</v>
      </c>
    </row>
    <row r="20" spans="1:1" x14ac:dyDescent="0.3">
      <c r="A20" s="7" t="str">
        <v>STAEL MARLEI DE SOUZA E SILVA</v>
      </c>
    </row>
    <row r="21" spans="1:1" x14ac:dyDescent="0.3">
      <c r="A21" s="7" t="str">
        <v>TALES VILAR MOTA GUIMARAES</v>
      </c>
    </row>
    <row r="22" spans="1:1" x14ac:dyDescent="0.3">
      <c r="A22" s="7" t="str">
        <v>ULISSES LEANDRO CARVALHO FERREIRA</v>
      </c>
    </row>
    <row r="23" spans="1:1" x14ac:dyDescent="0.3">
      <c r="A23" s="7" t="str">
        <v>VANUZA DOS SANTOS PRESTES</v>
      </c>
    </row>
    <row r="24" spans="1:1" x14ac:dyDescent="0.3">
      <c r="A24" s="7" t="str">
        <v>WANDERSON LAGE</v>
      </c>
    </row>
    <row r="25" spans="1:1" x14ac:dyDescent="0.3">
      <c r="A25" s="7"/>
    </row>
    <row r="26" spans="1:1" x14ac:dyDescent="0.3">
      <c r="A26" s="7"/>
    </row>
    <row r="27" spans="1:1" x14ac:dyDescent="0.3">
      <c r="A27" s="7"/>
    </row>
    <row r="28" spans="1:1" x14ac:dyDescent="0.3">
      <c r="A28" s="7"/>
    </row>
    <row r="29" spans="1:1" x14ac:dyDescent="0.3">
      <c r="A29" s="7"/>
    </row>
    <row r="30" spans="1:1" x14ac:dyDescent="0.3">
      <c r="A30" s="7"/>
    </row>
    <row r="31" spans="1:1" x14ac:dyDescent="0.3">
      <c r="A31" s="7"/>
    </row>
    <row r="32" spans="1:1" x14ac:dyDescent="0.3">
      <c r="A32" s="7"/>
    </row>
    <row r="33" spans="1:1" x14ac:dyDescent="0.3">
      <c r="A33" s="7"/>
    </row>
    <row r="34" spans="1:1" x14ac:dyDescent="0.3">
      <c r="A34" s="7"/>
    </row>
    <row r="35" spans="1:1" x14ac:dyDescent="0.3">
      <c r="A35" s="7"/>
    </row>
    <row r="36" spans="1:1" x14ac:dyDescent="0.3">
      <c r="A36" s="7"/>
    </row>
    <row r="37" spans="1:1" x14ac:dyDescent="0.3">
      <c r="A37" s="7"/>
    </row>
    <row r="38" spans="1:1" x14ac:dyDescent="0.3">
      <c r="A38" s="7"/>
    </row>
    <row r="39" spans="1:1" x14ac:dyDescent="0.3">
      <c r="A39" s="7"/>
    </row>
    <row r="40" spans="1:1" x14ac:dyDescent="0.3">
      <c r="A40" s="7"/>
    </row>
    <row r="41" spans="1:1" x14ac:dyDescent="0.3">
      <c r="A41" s="7"/>
    </row>
    <row r="42" spans="1:1" x14ac:dyDescent="0.3">
      <c r="A42" s="7"/>
    </row>
    <row r="43" spans="1:1" x14ac:dyDescent="0.3">
      <c r="A43" s="7"/>
    </row>
    <row r="44" spans="1:1" x14ac:dyDescent="0.3">
      <c r="A44" s="7"/>
    </row>
    <row r="45" spans="1:1" x14ac:dyDescent="0.3">
      <c r="A45" s="7"/>
    </row>
    <row r="46" spans="1:1" x14ac:dyDescent="0.3">
      <c r="A46" s="7"/>
    </row>
    <row r="47" spans="1:1" x14ac:dyDescent="0.3">
      <c r="A47" s="7"/>
    </row>
    <row r="48" spans="1:1" x14ac:dyDescent="0.3">
      <c r="A48" s="7"/>
    </row>
    <row r="49" spans="1:1" x14ac:dyDescent="0.3">
      <c r="A49" s="7"/>
    </row>
    <row r="50" spans="1:1" x14ac:dyDescent="0.3">
      <c r="A50" s="7"/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384E18-AB68-4DBB-8E5A-132AAEABE0F7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d25a7fee-0375-4291-87e9-efb469dc66b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2026-04-10T12:00:45Z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